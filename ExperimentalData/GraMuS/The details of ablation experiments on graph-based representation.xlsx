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 activeTab="2"/>
  </bookViews>
  <sheets>
    <sheet name="nodes and edges representation " sheetId="1" r:id="rId1"/>
    <sheet name="code complexity in method nodes" sheetId="2" r:id="rId2"/>
    <sheet name="features in Statement nodes" sheetId="3" r:id="rId3"/>
    <sheet name="features in mutant nodes" sheetId="4" r:id="rId4"/>
    <sheet name="features in method nod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<sst xmlns="http://schemas.openxmlformats.org/spreadsheetml/2006/main" count="268" uniqueCount="93">
  <si>
    <t>Lang</t>
  </si>
  <si>
    <t>Cli</t>
  </si>
  <si>
    <t>Chart</t>
  </si>
  <si>
    <t>TOP-1</t>
  </si>
  <si>
    <t>TOP-3</t>
  </si>
  <si>
    <t>TOP-5</t>
  </si>
  <si>
    <t>TOP-10</t>
  </si>
  <si>
    <t>MAR</t>
  </si>
  <si>
    <t>MFR</t>
  </si>
  <si>
    <t>removeKilledEdge</t>
  </si>
  <si>
    <t>removemutationEdge</t>
  </si>
  <si>
    <t>removeCoverageEdge</t>
  </si>
  <si>
    <t>removeStateEdge</t>
  </si>
  <si>
    <t>removeCallEdge</t>
  </si>
  <si>
    <t>SimpleMutantNode</t>
  </si>
  <si>
    <t>SimpleStatementNode</t>
  </si>
  <si>
    <t>MethodtNode</t>
  </si>
  <si>
    <t>SimpleTest</t>
  </si>
  <si>
    <t>GraMuS</t>
  </si>
  <si>
    <t>JxPath</t>
  </si>
  <si>
    <t>Math</t>
  </si>
  <si>
    <t>operators</t>
  </si>
  <si>
    <t>LOC</t>
  </si>
  <si>
    <t>LocalVarieble</t>
  </si>
  <si>
    <t>controls</t>
  </si>
  <si>
    <t>Expressions</t>
  </si>
  <si>
    <t>Loops</t>
  </si>
  <si>
    <t>Ifs</t>
  </si>
  <si>
    <t>Calls</t>
  </si>
  <si>
    <t>Words</t>
  </si>
  <si>
    <t>Parameters</t>
  </si>
  <si>
    <t>improvement</t>
  </si>
  <si>
    <t>statement_Jaccard</t>
  </si>
  <si>
    <t>statement_Tarantula</t>
  </si>
  <si>
    <t>statement_Ochiai</t>
  </si>
  <si>
    <t>statement_Ochiai2</t>
  </si>
  <si>
    <t>statement_AMPLE</t>
  </si>
  <si>
    <t>statement_Hamann</t>
  </si>
  <si>
    <t>statement_Hamming</t>
  </si>
  <si>
    <t>statement_Goodman</t>
  </si>
  <si>
    <t>statement_Dice</t>
  </si>
  <si>
    <t>statement_M1</t>
  </si>
  <si>
    <t>statement_Euclid</t>
  </si>
  <si>
    <t>statement_Wong2</t>
  </si>
  <si>
    <t>statement_Zoltar</t>
  </si>
  <si>
    <t>statement_SrensenDice</t>
  </si>
  <si>
    <t>statement_Kulczynski1</t>
  </si>
  <si>
    <t>statement_Kulczynski2</t>
  </si>
  <si>
    <t>statement_RogersTanimoto</t>
  </si>
  <si>
    <t>statement_Sokal</t>
  </si>
  <si>
    <t>statement_Anderberg</t>
  </si>
  <si>
    <t>statement_SimpleMatching</t>
  </si>
  <si>
    <t>mutants_Tarantula</t>
  </si>
  <si>
    <t>mutants_Ochiai</t>
  </si>
  <si>
    <t>mutants_OP2</t>
  </si>
  <si>
    <t>mutants_GP2</t>
  </si>
  <si>
    <t>mutants_GP13</t>
  </si>
  <si>
    <t>mutants_GP19</t>
  </si>
  <si>
    <t>mutants_ER1a</t>
  </si>
  <si>
    <t>mutants_ER1b'</t>
  </si>
  <si>
    <t>mutants_AMPLE</t>
  </si>
  <si>
    <t>mutants_Hamann</t>
  </si>
  <si>
    <t>mutants_Hamming</t>
  </si>
  <si>
    <t>mutants_Goodman</t>
  </si>
  <si>
    <t>mutants_Dice</t>
  </si>
  <si>
    <t>mutants_M1</t>
  </si>
  <si>
    <t>mutants_M2</t>
  </si>
  <si>
    <t>mutants_Euclid</t>
  </si>
  <si>
    <t>mutants_Zoltar</t>
  </si>
  <si>
    <t>mutants_Kulczynski1</t>
  </si>
  <si>
    <t>mutants_Kulczynski2</t>
  </si>
  <si>
    <t>mutants_SimpleMatching</t>
  </si>
  <si>
    <t>methods_Jaccard</t>
  </si>
  <si>
    <t>methods_Tarantula</t>
  </si>
  <si>
    <t>methods_Ochiai</t>
  </si>
  <si>
    <t>methods_Ochiai2</t>
  </si>
  <si>
    <t>methods_GP13</t>
  </si>
  <si>
    <t>methods_ER1b</t>
  </si>
  <si>
    <t>methods_Hamann</t>
  </si>
  <si>
    <t>methods_Hamming</t>
  </si>
  <si>
    <t>methods_Goodman</t>
  </si>
  <si>
    <t>methods_Dice</t>
  </si>
  <si>
    <t>methods_M1</t>
  </si>
  <si>
    <t>methods_Euclid</t>
  </si>
  <si>
    <t>methods_Wong2</t>
  </si>
  <si>
    <t>methods_Zoltar</t>
  </si>
  <si>
    <t>methods_SrensenDice</t>
  </si>
  <si>
    <t>methods_Kulczynski1</t>
  </si>
  <si>
    <t>methods_Kulczynski2</t>
  </si>
  <si>
    <t>methods_RogersTanimoto</t>
  </si>
  <si>
    <t>methods_Sokal</t>
  </si>
  <si>
    <t>methods_Anderberg</t>
  </si>
  <si>
    <t>methods_SimpleMatching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</si>
</sst>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indexed="8"/>
      <name val="宋体"/>
      <charset val="134"/>
    </font>
    <font>
      <sz val="11"/>
      <color indexed="8"/>
      <name val="等线"/>
      <charset val="134"/>
    </font>
    <font>
      <sz val="10"/>
      <color rgb="FF494949"/>
      <name val="Times New Roman"/>
      <charset val="134"/>
    </font>
    <font>
      <sz val="11"/>
      <color rgb="FF000000"/>
      <name val="宋体"/>
      <charset val="134"/>
    </font>
    <font>
      <sz val="11"/>
      <color rgb="FF494949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BEC5BA"/>
      </left>
      <right style="medium">
        <color rgb="FFBEC5BA"/>
      </right>
      <top style="medium">
        <color rgb="FFBEC5BA"/>
      </top>
      <bottom style="medium">
        <color rgb="FFBEC5BA"/>
      </bottom>
      <diagonal/>
    </border>
    <border>
      <left style="medium">
        <color rgb="FFBEC5BA"/>
      </left>
      <right/>
      <top style="medium">
        <color rgb="FFBEC5BA"/>
      </top>
      <bottom style="medium">
        <color rgb="FFBEC5BA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15" borderId="6" applyNumberFormat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7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5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0" fontId="0" fillId="3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NumberFormat="1" applyFont="1" applyFill="1" applyBorder="1" applyAlignment="1" applyProtection="1">
      <alignment vertical="center"/>
    </xf>
    <xf numFmtId="0" fontId="3" fillId="3" borderId="0" xfId="0" applyNumberFormat="1" applyFont="1" applyFill="1" applyBorder="1" applyAlignment="1" applyProtection="1">
      <alignment vertical="center"/>
    </xf>
    <xf numFmtId="0" fontId="0" fillId="3" borderId="0" xfId="0" applyFont="1" applyFill="1">
      <alignment vertical="center"/>
    </xf>
    <xf numFmtId="0" fontId="4" fillId="4" borderId="1" xfId="0" applyFon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0" fontId="4" fillId="4" borderId="0" xfId="0" applyFont="1" applyFill="1" applyBorder="1" applyAlignment="1">
      <alignment vertical="top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0" xfId="0" applyFont="1" applyFill="1">
      <alignment vertical="center"/>
    </xf>
    <xf numFmtId="0" fontId="0" fillId="6" borderId="0" xfId="0" applyFont="1" applyFill="1" applyAlignment="1">
      <alignment horizontal="center" vertical="center"/>
    </xf>
    <xf numFmtId="0" fontId="0" fillId="6" borderId="0" xfId="0" applyFont="1" applyFill="1" applyAlignment="1">
      <alignment vertical="center"/>
    </xf>
    <xf numFmtId="0" fontId="2" fillId="6" borderId="0" xfId="0" applyNumberFormat="1" applyFont="1" applyFill="1" applyBorder="1" applyAlignment="1" applyProtection="1">
      <alignment vertical="center"/>
    </xf>
    <xf numFmtId="0" fontId="0" fillId="7" borderId="0" xfId="0" applyFont="1" applyFill="1" applyAlignment="1">
      <alignment vertical="center"/>
    </xf>
    <xf numFmtId="0" fontId="0" fillId="8" borderId="0" xfId="0" applyFont="1" applyFill="1" applyAlignment="1">
      <alignment horizontal="center" vertical="center"/>
    </xf>
    <xf numFmtId="0" fontId="0" fillId="8" borderId="0" xfId="0" applyFont="1" applyFill="1" applyAlignment="1">
      <alignment vertical="center"/>
    </xf>
    <xf numFmtId="0" fontId="2" fillId="9" borderId="0" xfId="0" applyNumberFormat="1" applyFont="1" applyFill="1" applyBorder="1" applyAlignment="1" applyProtection="1">
      <alignment vertical="center"/>
    </xf>
    <xf numFmtId="0" fontId="5" fillId="6" borderId="0" xfId="0" applyFont="1" applyFill="1">
      <alignment vertical="center"/>
    </xf>
    <xf numFmtId="0" fontId="6" fillId="4" borderId="0" xfId="0" applyFont="1" applyFill="1" applyBorder="1" applyAlignment="1">
      <alignment vertical="top" wrapText="1"/>
    </xf>
    <xf numFmtId="0" fontId="0" fillId="5" borderId="0" xfId="0" applyFont="1" applyFill="1" applyAlignment="1">
      <alignment horizontal="center" vertical="center"/>
    </xf>
    <xf numFmtId="0" fontId="0" fillId="5" borderId="0" xfId="0" applyFont="1" applyFill="1" applyAlignment="1">
      <alignment vertical="center"/>
    </xf>
    <xf numFmtId="0" fontId="3" fillId="10" borderId="0" xfId="0" applyNumberFormat="1" applyFont="1" applyFill="1" applyBorder="1" applyAlignment="1" applyProtection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>
      <alignment vertical="center"/>
    </xf>
    <xf numFmtId="0" fontId="2" fillId="8" borderId="0" xfId="0" applyNumberFormat="1" applyFont="1" applyFill="1" applyBorder="1" applyAlignment="1" applyProtection="1">
      <alignment vertical="center"/>
    </xf>
    <xf numFmtId="0" fontId="0" fillId="11" borderId="0" xfId="0" applyFont="1" applyFill="1" applyAlignment="1">
      <alignment horizontal="center" vertical="center"/>
    </xf>
    <xf numFmtId="0" fontId="0" fillId="11" borderId="0" xfId="0" applyFont="1" applyFill="1">
      <alignment vertical="center"/>
    </xf>
    <xf numFmtId="0" fontId="0" fillId="11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2" fillId="11" borderId="0" xfId="0" applyNumberFormat="1" applyFont="1" applyFill="1" applyBorder="1" applyAlignment="1" applyProtection="1">
      <alignment vertical="center"/>
    </xf>
    <xf numFmtId="0" fontId="0" fillId="12" borderId="0" xfId="0" applyFont="1" applyFill="1" applyAlignment="1">
      <alignment horizontal="center" vertical="center"/>
    </xf>
    <xf numFmtId="0" fontId="0" fillId="12" borderId="0" xfId="0" applyFont="1" applyFill="1">
      <alignment vertical="center"/>
    </xf>
    <xf numFmtId="0" fontId="0" fillId="12" borderId="0" xfId="0" applyFont="1" applyFill="1" applyAlignment="1">
      <alignment vertical="center"/>
    </xf>
    <xf numFmtId="0" fontId="0" fillId="1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0"/>
  <sheetViews>
    <sheetView workbookViewId="0">
      <selection activeCell="G28" sqref="G28"/>
    </sheetView>
  </sheetViews>
  <sheetFormatPr defaultColWidth="9" defaultRowHeight="14"/>
  <cols>
    <col min="1" max="1" width="69.5833333333333" customWidth="1"/>
    <col min="2" max="9" width="13.8333333333333"/>
    <col min="10" max="10" width="12.6666666666667"/>
    <col min="11" max="13" width="13.8333333333333"/>
    <col min="15" max="19" width="13.8333333333333"/>
    <col min="21" max="21" width="13.8333333333333"/>
    <col min="23" max="23" width="13.8333333333333"/>
    <col min="24" max="25" width="12.6666666666667"/>
    <col min="26" max="31" width="13.8333333333333"/>
  </cols>
  <sheetData>
    <row r="1" spans="1:31">
      <c r="A1" s="2"/>
      <c r="B1" s="15" t="s">
        <v>0</v>
      </c>
      <c r="C1" s="15"/>
      <c r="D1" s="15"/>
      <c r="E1" s="15"/>
      <c r="F1" s="15"/>
      <c r="G1" s="15"/>
      <c r="H1" s="15" t="s">
        <v>1</v>
      </c>
      <c r="I1" s="15"/>
      <c r="J1" s="15"/>
      <c r="K1" s="15"/>
      <c r="L1" s="15"/>
      <c r="M1" s="2"/>
      <c r="N1" s="15" t="s">
        <v>2</v>
      </c>
      <c r="O1" s="15"/>
      <c r="P1" s="15"/>
      <c r="Q1" s="15"/>
      <c r="R1" s="15"/>
      <c r="S1" s="15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>
      <c r="A2" s="36"/>
      <c r="B2" s="36" t="s">
        <v>3</v>
      </c>
      <c r="C2" s="36" t="s">
        <v>4</v>
      </c>
      <c r="D2" s="36" t="s">
        <v>5</v>
      </c>
      <c r="E2" s="36" t="s">
        <v>6</v>
      </c>
      <c r="F2" s="36" t="s">
        <v>7</v>
      </c>
      <c r="G2" s="36" t="s">
        <v>8</v>
      </c>
      <c r="H2" s="36" t="s">
        <v>3</v>
      </c>
      <c r="I2" s="36" t="s">
        <v>4</v>
      </c>
      <c r="J2" s="36" t="s">
        <v>5</v>
      </c>
      <c r="K2" s="36" t="s">
        <v>6</v>
      </c>
      <c r="L2" s="36" t="s">
        <v>7</v>
      </c>
      <c r="M2" s="36" t="s">
        <v>8</v>
      </c>
      <c r="N2" s="36" t="s">
        <v>3</v>
      </c>
      <c r="O2" s="36" t="s">
        <v>4</v>
      </c>
      <c r="P2" s="36" t="s">
        <v>5</v>
      </c>
      <c r="Q2" s="36" t="s">
        <v>6</v>
      </c>
      <c r="R2" s="36" t="s">
        <v>7</v>
      </c>
      <c r="S2" s="36" t="s">
        <v>8</v>
      </c>
      <c r="T2" s="36" t="s">
        <v>3</v>
      </c>
      <c r="U2" s="36" t="s">
        <v>4</v>
      </c>
      <c r="V2" s="36" t="s">
        <v>5</v>
      </c>
      <c r="W2" s="36" t="s">
        <v>6</v>
      </c>
      <c r="X2" s="36" t="s">
        <v>7</v>
      </c>
      <c r="Y2" s="36" t="s">
        <v>8</v>
      </c>
      <c r="Z2" s="36" t="s">
        <v>3</v>
      </c>
      <c r="AA2" s="36" t="s">
        <v>4</v>
      </c>
      <c r="AB2" s="36" t="s">
        <v>5</v>
      </c>
      <c r="AC2" s="36" t="s">
        <v>6</v>
      </c>
      <c r="AD2" s="36" t="s">
        <v>7</v>
      </c>
      <c r="AE2" s="36" t="s">
        <v>8</v>
      </c>
    </row>
    <row r="3" spans="1:31">
      <c r="A3" s="36" t="s">
        <v>9</v>
      </c>
      <c r="B3" s="36">
        <v>12</v>
      </c>
      <c r="C3" s="36">
        <v>28</v>
      </c>
      <c r="D3" s="36">
        <v>40</v>
      </c>
      <c r="E3" s="36">
        <v>53</v>
      </c>
      <c r="F3" s="36">
        <v>25.997396476073</v>
      </c>
      <c r="G3" s="36">
        <v>19.0576923076923</v>
      </c>
      <c r="H3" s="29">
        <v>4</v>
      </c>
      <c r="I3" s="29">
        <v>12</v>
      </c>
      <c r="J3" s="29">
        <v>16</v>
      </c>
      <c r="K3" s="29">
        <v>22</v>
      </c>
      <c r="L3" s="29">
        <v>75.0089225589225</v>
      </c>
      <c r="M3" s="29">
        <v>57.1212121212121</v>
      </c>
      <c r="N3" s="36">
        <v>3</v>
      </c>
      <c r="O3" s="36">
        <v>7</v>
      </c>
      <c r="P3" s="36">
        <v>16</v>
      </c>
      <c r="Q3" s="36">
        <v>32</v>
      </c>
      <c r="R3" s="36">
        <v>50.8416666666667</v>
      </c>
      <c r="S3" s="36">
        <v>25.75</v>
      </c>
      <c r="T3" s="24">
        <v>4</v>
      </c>
      <c r="U3" s="24">
        <v>5</v>
      </c>
      <c r="V3" s="24">
        <v>5</v>
      </c>
      <c r="W3" s="24">
        <v>13</v>
      </c>
      <c r="X3" s="24">
        <v>100.183712121212</v>
      </c>
      <c r="Y3" s="24">
        <v>74.5909090909091</v>
      </c>
      <c r="Z3" s="36">
        <v>25</v>
      </c>
      <c r="AA3" s="36">
        <v>54</v>
      </c>
      <c r="AB3" s="36">
        <v>71</v>
      </c>
      <c r="AC3" s="36">
        <v>97</v>
      </c>
      <c r="AD3" s="36">
        <v>52.7426551933905</v>
      </c>
      <c r="AE3" s="36">
        <v>26.6078431372549</v>
      </c>
    </row>
    <row r="4" spans="1:31">
      <c r="A4" s="36" t="s">
        <v>10</v>
      </c>
      <c r="B4" s="36">
        <v>8</v>
      </c>
      <c r="C4" s="36">
        <v>21</v>
      </c>
      <c r="D4" s="36">
        <v>36</v>
      </c>
      <c r="E4" s="36">
        <v>52</v>
      </c>
      <c r="F4" s="36">
        <v>27.6599084738791</v>
      </c>
      <c r="G4" s="36">
        <v>20.9038461538461</v>
      </c>
      <c r="H4" s="29">
        <v>9</v>
      </c>
      <c r="I4" s="29">
        <v>19</v>
      </c>
      <c r="J4" s="29">
        <v>24</v>
      </c>
      <c r="K4" s="29">
        <v>29</v>
      </c>
      <c r="L4" s="29">
        <v>56.0545454545454</v>
      </c>
      <c r="M4" s="29">
        <v>42.7272727272727</v>
      </c>
      <c r="N4" s="36">
        <v>0</v>
      </c>
      <c r="O4" s="36">
        <v>7</v>
      </c>
      <c r="P4" s="36">
        <v>14</v>
      </c>
      <c r="Q4" s="36">
        <v>28</v>
      </c>
      <c r="R4" s="36">
        <v>51.7875</v>
      </c>
      <c r="S4" s="36">
        <v>36.9583333333333</v>
      </c>
      <c r="T4" s="24">
        <v>2</v>
      </c>
      <c r="U4" s="24">
        <v>6</v>
      </c>
      <c r="V4" s="24">
        <v>8</v>
      </c>
      <c r="W4" s="24">
        <v>10</v>
      </c>
      <c r="X4" s="24">
        <v>114.778787878788</v>
      </c>
      <c r="Y4" s="24">
        <v>79.6818181818182</v>
      </c>
      <c r="Z4" s="36">
        <v>23</v>
      </c>
      <c r="AA4" s="36">
        <v>51</v>
      </c>
      <c r="AB4" s="36">
        <v>69</v>
      </c>
      <c r="AC4" s="36">
        <v>99</v>
      </c>
      <c r="AD4" s="36">
        <v>41.7272265724472</v>
      </c>
      <c r="AE4" s="36">
        <v>22.5196078431373</v>
      </c>
    </row>
    <row r="5" spans="1:31">
      <c r="A5" s="36" t="s">
        <v>11</v>
      </c>
      <c r="B5" s="36">
        <v>8</v>
      </c>
      <c r="C5" s="36">
        <v>28</v>
      </c>
      <c r="D5" s="36">
        <v>40</v>
      </c>
      <c r="E5" s="36">
        <v>57</v>
      </c>
      <c r="F5" s="36">
        <v>23.5352375565611</v>
      </c>
      <c r="G5" s="36">
        <v>11.9038461538461</v>
      </c>
      <c r="H5" s="29">
        <v>7</v>
      </c>
      <c r="I5" s="29">
        <v>12</v>
      </c>
      <c r="J5" s="29">
        <v>19</v>
      </c>
      <c r="K5" s="29">
        <v>22</v>
      </c>
      <c r="L5" s="29">
        <v>83.5631313131313</v>
      </c>
      <c r="M5" s="29">
        <v>64.2424242424242</v>
      </c>
      <c r="N5" s="36">
        <v>2</v>
      </c>
      <c r="O5" s="36">
        <v>7</v>
      </c>
      <c r="P5" s="36">
        <v>13</v>
      </c>
      <c r="Q5" s="36">
        <v>28</v>
      </c>
      <c r="R5" s="36">
        <v>42.5486111111111</v>
      </c>
      <c r="S5" s="36">
        <v>23.375</v>
      </c>
      <c r="T5" s="24">
        <v>1</v>
      </c>
      <c r="U5" s="24">
        <v>4</v>
      </c>
      <c r="V5" s="24">
        <v>7</v>
      </c>
      <c r="W5" s="24">
        <v>10</v>
      </c>
      <c r="X5" s="24">
        <v>122.289772727273</v>
      </c>
      <c r="Y5" s="24">
        <v>86.8181818181818</v>
      </c>
      <c r="Z5" s="36">
        <v>20</v>
      </c>
      <c r="AA5" s="36">
        <v>48</v>
      </c>
      <c r="AB5" s="36">
        <v>66</v>
      </c>
      <c r="AC5" s="36">
        <v>96</v>
      </c>
      <c r="AD5" s="36">
        <v>62.5304904790199</v>
      </c>
      <c r="AE5" s="36">
        <v>34.9313725490196</v>
      </c>
    </row>
    <row r="6" spans="1:31">
      <c r="A6" s="36" t="s">
        <v>12</v>
      </c>
      <c r="B6" s="36">
        <v>12</v>
      </c>
      <c r="C6" s="36">
        <v>30</v>
      </c>
      <c r="D6" s="36">
        <v>44</v>
      </c>
      <c r="E6" s="36">
        <v>61</v>
      </c>
      <c r="F6" s="36">
        <v>24.4402646373235</v>
      </c>
      <c r="G6" s="36">
        <v>16.8461538461539</v>
      </c>
      <c r="H6" s="29">
        <v>3</v>
      </c>
      <c r="I6" s="29">
        <v>14</v>
      </c>
      <c r="J6" s="29">
        <v>19</v>
      </c>
      <c r="K6" s="29">
        <v>25</v>
      </c>
      <c r="L6" s="29">
        <v>58.0525252525252</v>
      </c>
      <c r="M6" s="29">
        <v>37.5454545454545</v>
      </c>
      <c r="N6" s="36">
        <v>1</v>
      </c>
      <c r="O6" s="36">
        <v>10</v>
      </c>
      <c r="P6" s="36">
        <v>13</v>
      </c>
      <c r="Q6" s="36">
        <v>25</v>
      </c>
      <c r="R6" s="36">
        <v>70.7395833333333</v>
      </c>
      <c r="S6" s="36">
        <v>32.0833333333333</v>
      </c>
      <c r="T6" s="24">
        <v>1</v>
      </c>
      <c r="U6" s="24">
        <v>4</v>
      </c>
      <c r="V6" s="24">
        <v>6</v>
      </c>
      <c r="W6" s="24">
        <v>8</v>
      </c>
      <c r="X6" s="24">
        <v>109.921590909091</v>
      </c>
      <c r="Y6" s="24">
        <v>67.5909090909091</v>
      </c>
      <c r="Z6" s="36">
        <v>21</v>
      </c>
      <c r="AA6" s="36">
        <v>53</v>
      </c>
      <c r="AB6" s="36">
        <v>70</v>
      </c>
      <c r="AC6" s="36">
        <v>101</v>
      </c>
      <c r="AD6" s="36">
        <v>38.7871846971112</v>
      </c>
      <c r="AE6" s="36">
        <v>21.1764705882353</v>
      </c>
    </row>
    <row r="7" spans="1:32">
      <c r="A7" s="36" t="s">
        <v>13</v>
      </c>
      <c r="B7" s="36">
        <v>14</v>
      </c>
      <c r="C7" s="36">
        <v>27</v>
      </c>
      <c r="D7" s="36">
        <v>41</v>
      </c>
      <c r="E7" s="36">
        <v>53</v>
      </c>
      <c r="F7" s="36">
        <v>23.6459738790621</v>
      </c>
      <c r="G7" s="36">
        <v>16.6153846153846</v>
      </c>
      <c r="H7" s="29">
        <v>7</v>
      </c>
      <c r="I7" s="29">
        <v>16</v>
      </c>
      <c r="J7" s="29">
        <v>17</v>
      </c>
      <c r="K7" s="29">
        <v>24</v>
      </c>
      <c r="L7" s="29">
        <v>58.676936026936</v>
      </c>
      <c r="M7" s="29">
        <v>45.4848484848485</v>
      </c>
      <c r="N7" s="36">
        <v>2</v>
      </c>
      <c r="O7" s="36">
        <v>10</v>
      </c>
      <c r="P7" s="36">
        <v>18</v>
      </c>
      <c r="Q7" s="36">
        <v>33</v>
      </c>
      <c r="R7" s="36">
        <v>52.0902777777778</v>
      </c>
      <c r="S7" s="36">
        <v>22.4583333333333</v>
      </c>
      <c r="T7" s="24">
        <v>4</v>
      </c>
      <c r="U7" s="24">
        <v>5</v>
      </c>
      <c r="V7" s="24">
        <v>6</v>
      </c>
      <c r="W7" s="24">
        <v>11</v>
      </c>
      <c r="X7" s="24">
        <v>113.788257575758</v>
      </c>
      <c r="Y7" s="24">
        <v>89</v>
      </c>
      <c r="Z7" s="36">
        <v>25</v>
      </c>
      <c r="AA7" s="36">
        <v>55</v>
      </c>
      <c r="AB7" s="36">
        <v>72</v>
      </c>
      <c r="AC7" s="36">
        <v>97</v>
      </c>
      <c r="AD7" s="36">
        <v>41.7272265724472</v>
      </c>
      <c r="AE7" s="36">
        <v>22.5196078431373</v>
      </c>
      <c r="AF7" s="8"/>
    </row>
    <row r="8" spans="1:31">
      <c r="A8" s="36" t="s">
        <v>14</v>
      </c>
      <c r="B8" s="36">
        <v>10</v>
      </c>
      <c r="C8" s="36">
        <v>31</v>
      </c>
      <c r="D8" s="36">
        <v>38</v>
      </c>
      <c r="E8" s="36">
        <v>58</v>
      </c>
      <c r="F8" s="36">
        <v>24.7228438228438</v>
      </c>
      <c r="G8" s="36">
        <v>18.3076923076923</v>
      </c>
      <c r="H8" s="29">
        <v>7</v>
      </c>
      <c r="I8" s="29">
        <v>15</v>
      </c>
      <c r="J8" s="29">
        <v>20</v>
      </c>
      <c r="K8" s="29">
        <v>31</v>
      </c>
      <c r="L8" s="29">
        <v>63.7173400673401</v>
      </c>
      <c r="M8" s="29">
        <v>44.969696969697</v>
      </c>
      <c r="N8" s="36">
        <v>2</v>
      </c>
      <c r="O8" s="36">
        <v>13</v>
      </c>
      <c r="P8" s="36">
        <v>21</v>
      </c>
      <c r="Q8" s="36">
        <v>33</v>
      </c>
      <c r="R8" s="36">
        <v>59.2</v>
      </c>
      <c r="S8" s="36">
        <v>25</v>
      </c>
      <c r="T8" s="24">
        <v>4</v>
      </c>
      <c r="U8" s="24">
        <v>5</v>
      </c>
      <c r="V8" s="24">
        <v>7</v>
      </c>
      <c r="W8" s="24">
        <v>11</v>
      </c>
      <c r="X8" s="24">
        <v>97.442803030303</v>
      </c>
      <c r="Y8" s="24">
        <v>68.2727272727273</v>
      </c>
      <c r="Z8" s="43">
        <v>24</v>
      </c>
      <c r="AA8" s="43">
        <v>52</v>
      </c>
      <c r="AB8" s="43">
        <v>70</v>
      </c>
      <c r="AC8" s="43">
        <v>102</v>
      </c>
      <c r="AD8" s="43">
        <v>38.769892199304</v>
      </c>
      <c r="AE8" s="43">
        <v>20.5098039215686</v>
      </c>
    </row>
    <row r="9" spans="1:31">
      <c r="A9" s="36" t="s">
        <v>15</v>
      </c>
      <c r="B9" s="36">
        <v>15</v>
      </c>
      <c r="C9" s="36">
        <v>28</v>
      </c>
      <c r="D9" s="36">
        <v>41</v>
      </c>
      <c r="E9" s="36">
        <v>53</v>
      </c>
      <c r="F9" s="36">
        <v>24.6588252433841</v>
      </c>
      <c r="G9" s="36">
        <v>18.3461538461539</v>
      </c>
      <c r="H9" s="29">
        <v>5</v>
      </c>
      <c r="I9" s="29">
        <v>16</v>
      </c>
      <c r="J9" s="29">
        <v>22</v>
      </c>
      <c r="K9" s="29">
        <v>28</v>
      </c>
      <c r="L9" s="29">
        <v>53.5964646464646</v>
      </c>
      <c r="M9" s="29">
        <v>40.2424242424242</v>
      </c>
      <c r="N9" s="36">
        <v>3</v>
      </c>
      <c r="O9" s="36">
        <v>11</v>
      </c>
      <c r="P9" s="36">
        <v>15</v>
      </c>
      <c r="Q9" s="36">
        <v>33</v>
      </c>
      <c r="R9" s="36">
        <v>56.0520833333333</v>
      </c>
      <c r="S9" s="36">
        <v>24.5</v>
      </c>
      <c r="T9" s="24">
        <v>1</v>
      </c>
      <c r="U9" s="24">
        <v>5</v>
      </c>
      <c r="V9" s="24">
        <v>8</v>
      </c>
      <c r="W9" s="24">
        <v>10</v>
      </c>
      <c r="X9" s="24">
        <v>116.267424242424</v>
      </c>
      <c r="Y9" s="24">
        <v>86.2272727272727</v>
      </c>
      <c r="Z9" s="36">
        <v>21</v>
      </c>
      <c r="AA9" s="36">
        <v>54</v>
      </c>
      <c r="AB9" s="36">
        <v>71</v>
      </c>
      <c r="AC9" s="36">
        <v>106</v>
      </c>
      <c r="AD9" s="36">
        <v>42.9737012987013</v>
      </c>
      <c r="AE9" s="36">
        <v>27.2941176470588</v>
      </c>
    </row>
    <row r="10" spans="1:31">
      <c r="A10" s="36" t="s">
        <v>16</v>
      </c>
      <c r="B10" s="36">
        <v>12</v>
      </c>
      <c r="C10" s="36">
        <v>31</v>
      </c>
      <c r="D10" s="36">
        <v>40</v>
      </c>
      <c r="E10" s="36">
        <v>55</v>
      </c>
      <c r="F10" s="36">
        <v>25.069623268888</v>
      </c>
      <c r="G10" s="36">
        <v>18.3269230769231</v>
      </c>
      <c r="H10" s="29">
        <v>5</v>
      </c>
      <c r="I10" s="29">
        <v>16</v>
      </c>
      <c r="J10" s="29">
        <v>21</v>
      </c>
      <c r="K10" s="29">
        <v>28</v>
      </c>
      <c r="L10" s="29">
        <v>58.8286458333333</v>
      </c>
      <c r="M10" s="29">
        <v>44.875</v>
      </c>
      <c r="N10" s="36">
        <v>2</v>
      </c>
      <c r="O10" s="36">
        <v>10</v>
      </c>
      <c r="P10" s="36">
        <v>20</v>
      </c>
      <c r="Q10" s="36">
        <v>33</v>
      </c>
      <c r="R10" s="36">
        <v>44.74375</v>
      </c>
      <c r="S10" s="36">
        <v>24.7083333333333</v>
      </c>
      <c r="T10" s="24">
        <v>2</v>
      </c>
      <c r="U10" s="24">
        <v>2</v>
      </c>
      <c r="V10" s="24">
        <v>4</v>
      </c>
      <c r="W10" s="24">
        <v>12</v>
      </c>
      <c r="X10" s="24">
        <v>125.758712121212</v>
      </c>
      <c r="Y10" s="24">
        <v>87.4090909090909</v>
      </c>
      <c r="Z10" s="36">
        <v>27</v>
      </c>
      <c r="AA10" s="36">
        <v>50</v>
      </c>
      <c r="AB10" s="36">
        <v>68</v>
      </c>
      <c r="AC10" s="36">
        <v>100</v>
      </c>
      <c r="AD10" s="36">
        <v>39.6340491752256</v>
      </c>
      <c r="AE10" s="36">
        <v>19.7549019607843</v>
      </c>
    </row>
    <row r="11" ht="14.75" spans="1:31">
      <c r="A11" s="36" t="s">
        <v>17</v>
      </c>
      <c r="B11" s="36">
        <v>6</v>
      </c>
      <c r="C11" s="36">
        <v>10</v>
      </c>
      <c r="D11" s="36">
        <v>14</v>
      </c>
      <c r="E11" s="36">
        <v>22</v>
      </c>
      <c r="F11" s="36">
        <v>56.6757575757576</v>
      </c>
      <c r="G11" s="36">
        <v>43.2424242424242</v>
      </c>
      <c r="H11" s="2">
        <v>6</v>
      </c>
      <c r="I11" s="2">
        <v>10</v>
      </c>
      <c r="J11" s="2">
        <v>14</v>
      </c>
      <c r="K11" s="2">
        <v>22</v>
      </c>
      <c r="L11" s="2">
        <v>56.6757575757575</v>
      </c>
      <c r="M11" s="2">
        <v>43.2424242424242</v>
      </c>
      <c r="N11" s="36">
        <v>3</v>
      </c>
      <c r="O11" s="36">
        <v>11</v>
      </c>
      <c r="P11" s="36">
        <v>16</v>
      </c>
      <c r="Q11" s="36">
        <v>31</v>
      </c>
      <c r="R11" s="36">
        <v>48.1083333333333</v>
      </c>
      <c r="S11" s="36">
        <v>30.9166666666667</v>
      </c>
      <c r="T11" s="24">
        <v>2</v>
      </c>
      <c r="U11" s="24">
        <v>5</v>
      </c>
      <c r="V11" s="24">
        <v>5</v>
      </c>
      <c r="W11" s="24">
        <v>12</v>
      </c>
      <c r="X11" s="24">
        <v>125.958333333333</v>
      </c>
      <c r="Y11" s="24">
        <v>93.5909090909091</v>
      </c>
      <c r="Z11" s="36">
        <v>20</v>
      </c>
      <c r="AA11" s="36">
        <v>48</v>
      </c>
      <c r="AB11" s="36">
        <v>64</v>
      </c>
      <c r="AC11" s="36">
        <v>89</v>
      </c>
      <c r="AD11" s="36">
        <v>48.6256435149818</v>
      </c>
      <c r="AE11" s="36">
        <v>28.1764705882353</v>
      </c>
    </row>
    <row r="12" ht="14.75" spans="1:31">
      <c r="A12" s="2" t="s">
        <v>18</v>
      </c>
      <c r="B12" s="12">
        <v>15</v>
      </c>
      <c r="C12" s="12">
        <v>28</v>
      </c>
      <c r="D12" s="12">
        <v>41</v>
      </c>
      <c r="E12" s="12">
        <v>53</v>
      </c>
      <c r="F12" s="13">
        <v>24.66</v>
      </c>
      <c r="G12" s="14">
        <v>18.35</v>
      </c>
      <c r="H12" s="14">
        <v>11</v>
      </c>
      <c r="I12" s="14">
        <v>17</v>
      </c>
      <c r="J12" s="14">
        <v>20</v>
      </c>
      <c r="K12" s="14">
        <v>29</v>
      </c>
      <c r="L12" s="14">
        <v>59.11</v>
      </c>
      <c r="M12" s="14">
        <v>44.21</v>
      </c>
      <c r="N12" s="21">
        <v>5</v>
      </c>
      <c r="O12" s="21">
        <v>14</v>
      </c>
      <c r="P12" s="21">
        <v>19</v>
      </c>
      <c r="Q12" s="21">
        <v>35</v>
      </c>
      <c r="R12" s="21">
        <v>67.2368055555556</v>
      </c>
      <c r="S12" s="21">
        <v>28.625</v>
      </c>
      <c r="T12" s="26">
        <v>5</v>
      </c>
      <c r="U12" s="26">
        <v>6</v>
      </c>
      <c r="V12" s="26">
        <v>8</v>
      </c>
      <c r="W12" s="26">
        <v>15</v>
      </c>
      <c r="X12" s="26">
        <v>95.16</v>
      </c>
      <c r="Y12" s="26">
        <v>66.41</v>
      </c>
      <c r="Z12" s="26">
        <v>31</v>
      </c>
      <c r="AA12" s="26">
        <v>49</v>
      </c>
      <c r="AB12" s="26">
        <v>67</v>
      </c>
      <c r="AC12" s="26">
        <v>101</v>
      </c>
      <c r="AD12" s="26">
        <v>41.18</v>
      </c>
      <c r="AE12" s="26">
        <v>21.55</v>
      </c>
    </row>
    <row r="13" spans="1:31">
      <c r="A13" s="2"/>
      <c r="B13" s="2">
        <f t="shared" ref="B13:G13" si="0">(B3-B12)/B12</f>
        <v>-0.2</v>
      </c>
      <c r="C13" s="2">
        <f t="shared" si="0"/>
        <v>0</v>
      </c>
      <c r="D13" s="2">
        <f t="shared" si="0"/>
        <v>-0.024390243902439</v>
      </c>
      <c r="E13" s="2">
        <f t="shared" si="0"/>
        <v>0</v>
      </c>
      <c r="F13" s="2">
        <f t="shared" si="0"/>
        <v>0.0542334337418086</v>
      </c>
      <c r="G13" s="2">
        <f t="shared" si="0"/>
        <v>0.0385663382938582</v>
      </c>
      <c r="H13" s="2">
        <f t="shared" ref="H13:AE13" si="1">(H3-H12)/H12</f>
        <v>-0.636363636363636</v>
      </c>
      <c r="I13" s="2">
        <f t="shared" si="1"/>
        <v>-0.294117647058824</v>
      </c>
      <c r="J13" s="2">
        <f t="shared" si="1"/>
        <v>-0.2</v>
      </c>
      <c r="K13" s="2">
        <f t="shared" si="1"/>
        <v>-0.241379310344828</v>
      </c>
      <c r="L13" s="2">
        <f t="shared" si="1"/>
        <v>0.268971790880097</v>
      </c>
      <c r="M13" s="2">
        <f t="shared" si="1"/>
        <v>0.292042798489303</v>
      </c>
      <c r="N13" s="2">
        <f t="shared" si="1"/>
        <v>-0.4</v>
      </c>
      <c r="O13" s="2">
        <f t="shared" si="1"/>
        <v>-0.5</v>
      </c>
      <c r="P13" s="2">
        <f t="shared" si="1"/>
        <v>-0.157894736842105</v>
      </c>
      <c r="Q13" s="2">
        <f t="shared" si="1"/>
        <v>-0.0857142857142857</v>
      </c>
      <c r="R13" s="2">
        <f t="shared" si="1"/>
        <v>-0.243841728550624</v>
      </c>
      <c r="S13" s="2">
        <f t="shared" si="1"/>
        <v>-0.100436681222707</v>
      </c>
      <c r="T13" s="2">
        <f t="shared" si="1"/>
        <v>-0.2</v>
      </c>
      <c r="U13" s="2">
        <f t="shared" si="1"/>
        <v>-0.166666666666667</v>
      </c>
      <c r="V13" s="2">
        <f t="shared" si="1"/>
        <v>-0.375</v>
      </c>
      <c r="W13" s="2">
        <f t="shared" si="1"/>
        <v>-0.133333333333333</v>
      </c>
      <c r="X13" s="2">
        <f t="shared" si="1"/>
        <v>0.0527922669316099</v>
      </c>
      <c r="Y13" s="2">
        <f t="shared" si="1"/>
        <v>0.12318790981643</v>
      </c>
      <c r="Z13" s="2">
        <f t="shared" si="1"/>
        <v>-0.193548387096774</v>
      </c>
      <c r="AA13" s="2">
        <f t="shared" si="1"/>
        <v>0.102040816326531</v>
      </c>
      <c r="AB13" s="2">
        <f t="shared" si="1"/>
        <v>0.0597014925373134</v>
      </c>
      <c r="AC13" s="2">
        <f t="shared" si="1"/>
        <v>-0.0396039603960396</v>
      </c>
      <c r="AD13" s="2">
        <f t="shared" si="1"/>
        <v>0.280783273273203</v>
      </c>
      <c r="AE13" s="2">
        <f t="shared" si="1"/>
        <v>0.23470269778445</v>
      </c>
    </row>
    <row r="14" spans="1:31">
      <c r="A14" s="2"/>
      <c r="B14" s="2">
        <f t="shared" ref="B14:G14" si="2">(B4-B12)/B12</f>
        <v>-0.466666666666667</v>
      </c>
      <c r="C14" s="2">
        <f t="shared" si="2"/>
        <v>-0.25</v>
      </c>
      <c r="D14" s="2">
        <f t="shared" si="2"/>
        <v>-0.121951219512195</v>
      </c>
      <c r="E14" s="2">
        <f t="shared" si="2"/>
        <v>-0.0188679245283019</v>
      </c>
      <c r="F14" s="2">
        <f t="shared" si="2"/>
        <v>0.121650789695016</v>
      </c>
      <c r="G14" s="2">
        <f t="shared" si="2"/>
        <v>0.139174177321313</v>
      </c>
      <c r="H14" s="2">
        <f t="shared" ref="H14:AE14" si="3">(H4-H12)/H12</f>
        <v>-0.181818181818182</v>
      </c>
      <c r="I14" s="2">
        <f t="shared" si="3"/>
        <v>0.117647058823529</v>
      </c>
      <c r="J14" s="2">
        <f t="shared" si="3"/>
        <v>0.2</v>
      </c>
      <c r="K14" s="2">
        <f t="shared" si="3"/>
        <v>0</v>
      </c>
      <c r="L14" s="2">
        <f t="shared" si="3"/>
        <v>-0.0516909921410015</v>
      </c>
      <c r="M14" s="2">
        <f t="shared" si="3"/>
        <v>-0.0335382780530944</v>
      </c>
      <c r="N14" s="2">
        <f t="shared" si="3"/>
        <v>-1</v>
      </c>
      <c r="O14" s="2">
        <f t="shared" si="3"/>
        <v>-0.5</v>
      </c>
      <c r="P14" s="2">
        <f t="shared" si="3"/>
        <v>-0.263157894736842</v>
      </c>
      <c r="Q14" s="2">
        <f t="shared" si="3"/>
        <v>-0.2</v>
      </c>
      <c r="R14" s="2">
        <f t="shared" si="3"/>
        <v>-0.229774532384504</v>
      </c>
      <c r="S14" s="2">
        <f t="shared" si="3"/>
        <v>0.291120815138281</v>
      </c>
      <c r="T14" s="2">
        <f t="shared" si="3"/>
        <v>-0.6</v>
      </c>
      <c r="U14" s="2">
        <f t="shared" si="3"/>
        <v>0</v>
      </c>
      <c r="V14" s="2">
        <f t="shared" si="3"/>
        <v>0</v>
      </c>
      <c r="W14" s="2">
        <f t="shared" si="3"/>
        <v>-0.333333333333333</v>
      </c>
      <c r="X14" s="2">
        <f t="shared" si="3"/>
        <v>0.20616632911715</v>
      </c>
      <c r="Y14" s="2">
        <f t="shared" si="3"/>
        <v>0.199846682454724</v>
      </c>
      <c r="Z14" s="2">
        <f t="shared" si="3"/>
        <v>-0.258064516129032</v>
      </c>
      <c r="AA14" s="2">
        <f t="shared" si="3"/>
        <v>0.0408163265306122</v>
      </c>
      <c r="AB14" s="2">
        <f t="shared" si="3"/>
        <v>0.0298507462686567</v>
      </c>
      <c r="AC14" s="2">
        <f t="shared" si="3"/>
        <v>-0.0198019801980198</v>
      </c>
      <c r="AD14" s="2">
        <f t="shared" si="3"/>
        <v>0.0132886491609325</v>
      </c>
      <c r="AE14" s="2">
        <f t="shared" si="3"/>
        <v>0.0449934033938422</v>
      </c>
    </row>
    <row r="15" spans="1:31">
      <c r="A15" s="2"/>
      <c r="B15" s="2">
        <f t="shared" ref="B15:G15" si="4">(B5-B12)/B12</f>
        <v>-0.466666666666667</v>
      </c>
      <c r="C15" s="2">
        <f t="shared" si="4"/>
        <v>0</v>
      </c>
      <c r="D15" s="2">
        <f t="shared" si="4"/>
        <v>-0.024390243902439</v>
      </c>
      <c r="E15" s="2">
        <f t="shared" si="4"/>
        <v>0.0754716981132075</v>
      </c>
      <c r="F15" s="2">
        <f t="shared" si="4"/>
        <v>-0.0456108046812206</v>
      </c>
      <c r="G15" s="2">
        <f t="shared" si="4"/>
        <v>-0.351289037937542</v>
      </c>
      <c r="H15" s="2">
        <f t="shared" ref="H15:AE15" si="5">(H5-H12)/H12</f>
        <v>-0.363636363636364</v>
      </c>
      <c r="I15" s="2">
        <f t="shared" si="5"/>
        <v>-0.294117647058824</v>
      </c>
      <c r="J15" s="2">
        <f t="shared" si="5"/>
        <v>-0.05</v>
      </c>
      <c r="K15" s="2">
        <f t="shared" si="5"/>
        <v>-0.241379310344828</v>
      </c>
      <c r="L15" s="2">
        <f t="shared" si="5"/>
        <v>0.41368856899224</v>
      </c>
      <c r="M15" s="2">
        <f t="shared" si="5"/>
        <v>0.453119752147121</v>
      </c>
      <c r="N15" s="2">
        <f t="shared" si="5"/>
        <v>-0.6</v>
      </c>
      <c r="O15" s="2">
        <f t="shared" si="5"/>
        <v>-0.5</v>
      </c>
      <c r="P15" s="2">
        <f t="shared" si="5"/>
        <v>-0.315789473684211</v>
      </c>
      <c r="Q15" s="2">
        <f t="shared" si="5"/>
        <v>-0.2</v>
      </c>
      <c r="R15" s="2">
        <f t="shared" si="5"/>
        <v>-0.367182739281768</v>
      </c>
      <c r="S15" s="2">
        <f t="shared" si="5"/>
        <v>-0.183406113537118</v>
      </c>
      <c r="T15" s="2">
        <f t="shared" si="5"/>
        <v>-0.8</v>
      </c>
      <c r="U15" s="2">
        <f t="shared" si="5"/>
        <v>-0.333333333333333</v>
      </c>
      <c r="V15" s="2">
        <f t="shared" si="5"/>
        <v>-0.125</v>
      </c>
      <c r="W15" s="2">
        <f t="shared" si="5"/>
        <v>-0.333333333333333</v>
      </c>
      <c r="X15" s="2">
        <f t="shared" si="5"/>
        <v>0.285096392678363</v>
      </c>
      <c r="Y15" s="2">
        <f t="shared" si="5"/>
        <v>0.30730585481376</v>
      </c>
      <c r="Z15" s="2">
        <f t="shared" si="5"/>
        <v>-0.354838709677419</v>
      </c>
      <c r="AA15" s="2">
        <f t="shared" si="5"/>
        <v>-0.0204081632653061</v>
      </c>
      <c r="AB15" s="2">
        <f t="shared" si="5"/>
        <v>-0.0149253731343284</v>
      </c>
      <c r="AC15" s="2">
        <f t="shared" si="5"/>
        <v>-0.0495049504950495</v>
      </c>
      <c r="AD15" s="2">
        <f t="shared" si="5"/>
        <v>0.518467471564349</v>
      </c>
      <c r="AE15" s="2">
        <f t="shared" si="5"/>
        <v>0.620945361903462</v>
      </c>
    </row>
    <row r="16" spans="1:31">
      <c r="A16" s="2"/>
      <c r="B16" s="2">
        <f t="shared" ref="B16:G16" si="6">(B6-B12)/B12</f>
        <v>-0.2</v>
      </c>
      <c r="C16" s="2">
        <f t="shared" si="6"/>
        <v>0.0714285714285714</v>
      </c>
      <c r="D16" s="2">
        <f t="shared" si="6"/>
        <v>0.0731707317073171</v>
      </c>
      <c r="E16" s="2">
        <f t="shared" si="6"/>
        <v>0.150943396226415</v>
      </c>
      <c r="F16" s="2">
        <f t="shared" si="6"/>
        <v>-0.00891059864868202</v>
      </c>
      <c r="G16" s="2">
        <f t="shared" si="6"/>
        <v>-0.0819534688744469</v>
      </c>
      <c r="H16" s="2">
        <f t="shared" ref="H16:AE16" si="7">(H6-H12)/H12</f>
        <v>-0.727272727272727</v>
      </c>
      <c r="I16" s="2">
        <f t="shared" si="7"/>
        <v>-0.176470588235294</v>
      </c>
      <c r="J16" s="2">
        <f t="shared" si="7"/>
        <v>-0.05</v>
      </c>
      <c r="K16" s="2">
        <f t="shared" si="7"/>
        <v>-0.137931034482759</v>
      </c>
      <c r="L16" s="2">
        <f t="shared" si="7"/>
        <v>-0.0178899466668043</v>
      </c>
      <c r="M16" s="2">
        <f t="shared" si="7"/>
        <v>-0.150747465608358</v>
      </c>
      <c r="N16" s="2">
        <f t="shared" si="7"/>
        <v>-0.8</v>
      </c>
      <c r="O16" s="2">
        <f t="shared" si="7"/>
        <v>-0.285714285714286</v>
      </c>
      <c r="P16" s="2">
        <f t="shared" si="7"/>
        <v>-0.315789473684211</v>
      </c>
      <c r="Q16" s="2">
        <f t="shared" si="7"/>
        <v>-0.285714285714286</v>
      </c>
      <c r="R16" s="2">
        <f t="shared" si="7"/>
        <v>0.0520961361688051</v>
      </c>
      <c r="S16" s="2">
        <f t="shared" si="7"/>
        <v>0.120815138282386</v>
      </c>
      <c r="T16" s="2">
        <f t="shared" si="7"/>
        <v>-0.8</v>
      </c>
      <c r="U16" s="2">
        <f t="shared" si="7"/>
        <v>-0.333333333333333</v>
      </c>
      <c r="V16" s="2">
        <f t="shared" si="7"/>
        <v>-0.25</v>
      </c>
      <c r="W16" s="2">
        <f t="shared" si="7"/>
        <v>-0.466666666666667</v>
      </c>
      <c r="X16" s="2">
        <f t="shared" si="7"/>
        <v>0.155123906148497</v>
      </c>
      <c r="Y16" s="2">
        <f t="shared" si="7"/>
        <v>0.0177820974387757</v>
      </c>
      <c r="Z16" s="2">
        <f t="shared" si="7"/>
        <v>-0.32258064516129</v>
      </c>
      <c r="AA16" s="2">
        <f t="shared" si="7"/>
        <v>0.0816326530612245</v>
      </c>
      <c r="AB16" s="2">
        <f t="shared" si="7"/>
        <v>0.0447761194029851</v>
      </c>
      <c r="AC16" s="2">
        <f t="shared" si="7"/>
        <v>0</v>
      </c>
      <c r="AD16" s="2">
        <f t="shared" si="7"/>
        <v>-0.0581062482488781</v>
      </c>
      <c r="AE16" s="2">
        <f t="shared" si="7"/>
        <v>-0.0173331513579907</v>
      </c>
    </row>
    <row r="17" spans="1:31">
      <c r="A17" s="2"/>
      <c r="B17" s="2">
        <f t="shared" ref="B17:G17" si="8">(B7-B12)/B12</f>
        <v>-0.0666666666666667</v>
      </c>
      <c r="C17" s="2">
        <f t="shared" si="8"/>
        <v>-0.0357142857142857</v>
      </c>
      <c r="D17" s="2">
        <f t="shared" si="8"/>
        <v>0</v>
      </c>
      <c r="E17" s="2">
        <f t="shared" si="8"/>
        <v>0</v>
      </c>
      <c r="F17" s="2">
        <f t="shared" si="8"/>
        <v>-0.041120280654416</v>
      </c>
      <c r="G17" s="2">
        <f t="shared" si="8"/>
        <v>-0.094529448752883</v>
      </c>
      <c r="H17" s="2">
        <f t="shared" ref="H17:AE17" si="9">(H7-H12)/H12</f>
        <v>-0.363636363636364</v>
      </c>
      <c r="I17" s="2">
        <f t="shared" si="9"/>
        <v>-0.0588235294117647</v>
      </c>
      <c r="J17" s="2">
        <f t="shared" si="9"/>
        <v>-0.15</v>
      </c>
      <c r="K17" s="2">
        <f t="shared" si="9"/>
        <v>-0.172413793103448</v>
      </c>
      <c r="L17" s="2">
        <f t="shared" si="9"/>
        <v>-0.00732640793544242</v>
      </c>
      <c r="M17" s="2">
        <f t="shared" si="9"/>
        <v>0.0288362018739764</v>
      </c>
      <c r="N17" s="2">
        <f t="shared" si="9"/>
        <v>-0.6</v>
      </c>
      <c r="O17" s="2">
        <f t="shared" si="9"/>
        <v>-0.285714285714286</v>
      </c>
      <c r="P17" s="2">
        <f t="shared" si="9"/>
        <v>-0.0526315789473684</v>
      </c>
      <c r="Q17" s="2">
        <f t="shared" si="9"/>
        <v>-0.0571428571428571</v>
      </c>
      <c r="R17" s="2">
        <f t="shared" si="9"/>
        <v>-0.225271377077287</v>
      </c>
      <c r="S17" s="2">
        <f t="shared" si="9"/>
        <v>-0.21542940320233</v>
      </c>
      <c r="T17" s="2">
        <f t="shared" si="9"/>
        <v>-0.2</v>
      </c>
      <c r="U17" s="2">
        <f t="shared" si="9"/>
        <v>-0.166666666666667</v>
      </c>
      <c r="V17" s="2">
        <f t="shared" si="9"/>
        <v>-0.25</v>
      </c>
      <c r="W17" s="2">
        <f t="shared" si="9"/>
        <v>-0.266666666666667</v>
      </c>
      <c r="X17" s="2">
        <f t="shared" si="9"/>
        <v>0.195757225470345</v>
      </c>
      <c r="Y17" s="2">
        <f t="shared" si="9"/>
        <v>0.340159614515886</v>
      </c>
      <c r="Z17" s="2">
        <f t="shared" si="9"/>
        <v>-0.193548387096774</v>
      </c>
      <c r="AA17" s="2">
        <f t="shared" si="9"/>
        <v>0.122448979591837</v>
      </c>
      <c r="AB17" s="2">
        <f t="shared" si="9"/>
        <v>0.0746268656716418</v>
      </c>
      <c r="AC17" s="2">
        <f t="shared" si="9"/>
        <v>-0.0396039603960396</v>
      </c>
      <c r="AD17" s="2">
        <f t="shared" si="9"/>
        <v>0.0132886491609325</v>
      </c>
      <c r="AE17" s="2">
        <f t="shared" si="9"/>
        <v>0.0449934033938422</v>
      </c>
    </row>
    <row r="18" spans="1:31">
      <c r="A18" s="2"/>
      <c r="B18" s="2">
        <f t="shared" ref="B18:G18" si="10">(B8-B12)/B12</f>
        <v>-0.333333333333333</v>
      </c>
      <c r="C18" s="2">
        <f t="shared" si="10"/>
        <v>0.107142857142857</v>
      </c>
      <c r="D18" s="2">
        <f t="shared" si="10"/>
        <v>-0.0731707317073171</v>
      </c>
      <c r="E18" s="2">
        <f t="shared" si="10"/>
        <v>0.0943396226415094</v>
      </c>
      <c r="F18" s="2">
        <f t="shared" si="10"/>
        <v>0.00254841130753444</v>
      </c>
      <c r="G18" s="2">
        <f t="shared" si="10"/>
        <v>-0.00230559631104643</v>
      </c>
      <c r="H18" s="2">
        <f t="shared" ref="H18:AE18" si="11">(H8-H12)/H12</f>
        <v>-0.363636363636364</v>
      </c>
      <c r="I18" s="2">
        <f t="shared" si="11"/>
        <v>-0.117647058823529</v>
      </c>
      <c r="J18" s="2">
        <f t="shared" si="11"/>
        <v>0</v>
      </c>
      <c r="K18" s="2">
        <f t="shared" si="11"/>
        <v>0.0689655172413793</v>
      </c>
      <c r="L18" s="2">
        <f t="shared" si="11"/>
        <v>0.0779451880788378</v>
      </c>
      <c r="M18" s="2">
        <f t="shared" si="11"/>
        <v>0.0171838265029857</v>
      </c>
      <c r="N18" s="2">
        <f t="shared" si="11"/>
        <v>-0.6</v>
      </c>
      <c r="O18" s="2">
        <f t="shared" si="11"/>
        <v>-0.0714285714285714</v>
      </c>
      <c r="P18" s="2">
        <f t="shared" si="11"/>
        <v>0.105263157894737</v>
      </c>
      <c r="Q18" s="2">
        <f t="shared" si="11"/>
        <v>-0.0571428571428571</v>
      </c>
      <c r="R18" s="2">
        <f t="shared" si="11"/>
        <v>-0.119529854060587</v>
      </c>
      <c r="S18" s="2">
        <f t="shared" si="11"/>
        <v>-0.126637554585153</v>
      </c>
      <c r="T18" s="2">
        <f t="shared" si="11"/>
        <v>-0.2</v>
      </c>
      <c r="U18" s="2">
        <f t="shared" si="11"/>
        <v>-0.166666666666667</v>
      </c>
      <c r="V18" s="2">
        <f t="shared" si="11"/>
        <v>-0.125</v>
      </c>
      <c r="W18" s="2">
        <f t="shared" si="11"/>
        <v>-0.266666666666667</v>
      </c>
      <c r="X18" s="2">
        <f t="shared" si="11"/>
        <v>0.0239891028825452</v>
      </c>
      <c r="Y18" s="2">
        <f t="shared" si="11"/>
        <v>0.0280488973456904</v>
      </c>
      <c r="Z18" s="2">
        <f t="shared" si="11"/>
        <v>-0.225806451612903</v>
      </c>
      <c r="AA18" s="2">
        <f t="shared" si="11"/>
        <v>0.0612244897959184</v>
      </c>
      <c r="AB18" s="2">
        <f t="shared" si="11"/>
        <v>0.0447761194029851</v>
      </c>
      <c r="AC18" s="2">
        <f t="shared" si="11"/>
        <v>0.0099009900990099</v>
      </c>
      <c r="AD18" s="2">
        <f t="shared" si="11"/>
        <v>-0.0585261729163671</v>
      </c>
      <c r="AE18" s="2">
        <f t="shared" si="11"/>
        <v>-0.0482689595559814</v>
      </c>
    </row>
    <row r="19" spans="1:31">
      <c r="A19" s="2"/>
      <c r="B19" s="2">
        <f t="shared" ref="B19:G19" si="12">(B9-B12)/B12</f>
        <v>0</v>
      </c>
      <c r="C19" s="2">
        <f t="shared" si="12"/>
        <v>0</v>
      </c>
      <c r="D19" s="2">
        <f t="shared" si="12"/>
        <v>0</v>
      </c>
      <c r="E19" s="2">
        <f t="shared" si="12"/>
        <v>0</v>
      </c>
      <c r="F19" s="2">
        <f t="shared" si="12"/>
        <v>-4.76381433860299e-5</v>
      </c>
      <c r="G19" s="2">
        <f t="shared" si="12"/>
        <v>-0.00020959966463768</v>
      </c>
      <c r="H19" s="2">
        <f t="shared" ref="H19:AE19" si="13">(H9-H12)/H12</f>
        <v>-0.545454545454545</v>
      </c>
      <c r="I19" s="2">
        <f t="shared" si="13"/>
        <v>-0.0588235294117647</v>
      </c>
      <c r="J19" s="2">
        <f t="shared" si="13"/>
        <v>0.1</v>
      </c>
      <c r="K19" s="2">
        <f t="shared" si="13"/>
        <v>-0.0344827586206897</v>
      </c>
      <c r="L19" s="2">
        <f t="shared" si="13"/>
        <v>-0.0932758476321334</v>
      </c>
      <c r="M19" s="2">
        <f t="shared" si="13"/>
        <v>-0.0897438533719928</v>
      </c>
      <c r="N19" s="2">
        <f t="shared" si="13"/>
        <v>-0.4</v>
      </c>
      <c r="O19" s="2">
        <f t="shared" si="13"/>
        <v>-0.214285714285714</v>
      </c>
      <c r="P19" s="2">
        <f t="shared" si="13"/>
        <v>-0.210526315789474</v>
      </c>
      <c r="Q19" s="2">
        <f t="shared" si="13"/>
        <v>-0.0571428571428571</v>
      </c>
      <c r="R19" s="2">
        <f t="shared" si="13"/>
        <v>-0.166348209582633</v>
      </c>
      <c r="S19" s="2">
        <f t="shared" si="13"/>
        <v>-0.14410480349345</v>
      </c>
      <c r="T19" s="2">
        <f t="shared" si="13"/>
        <v>-0.8</v>
      </c>
      <c r="U19" s="2">
        <f t="shared" si="13"/>
        <v>-0.166666666666667</v>
      </c>
      <c r="V19" s="2">
        <f t="shared" si="13"/>
        <v>0</v>
      </c>
      <c r="W19" s="2">
        <f t="shared" si="13"/>
        <v>-0.333333333333333</v>
      </c>
      <c r="X19" s="2">
        <f t="shared" si="13"/>
        <v>0.221809838613115</v>
      </c>
      <c r="Y19" s="2">
        <f t="shared" si="13"/>
        <v>0.298407961561101</v>
      </c>
      <c r="Z19" s="2">
        <f t="shared" si="13"/>
        <v>-0.32258064516129</v>
      </c>
      <c r="AA19" s="2">
        <f t="shared" si="13"/>
        <v>0.102040816326531</v>
      </c>
      <c r="AB19" s="2">
        <f t="shared" si="13"/>
        <v>0.0597014925373134</v>
      </c>
      <c r="AC19" s="2">
        <f t="shared" si="13"/>
        <v>0.0495049504950495</v>
      </c>
      <c r="AD19" s="2">
        <f t="shared" si="13"/>
        <v>0.0435575837469961</v>
      </c>
      <c r="AE19" s="2">
        <f t="shared" si="13"/>
        <v>0.266548382694144</v>
      </c>
    </row>
    <row r="20" spans="1:31">
      <c r="A20" s="2"/>
      <c r="B20" s="2">
        <f>(B10-B12)/B12</f>
        <v>-0.2</v>
      </c>
      <c r="C20" s="2">
        <f t="shared" ref="C20:AE20" si="14">(C10-C12)/C12</f>
        <v>0.107142857142857</v>
      </c>
      <c r="D20" s="2">
        <f t="shared" si="14"/>
        <v>-0.024390243902439</v>
      </c>
      <c r="E20" s="2">
        <f t="shared" si="14"/>
        <v>0.0377358490566038</v>
      </c>
      <c r="F20" s="2">
        <f t="shared" si="14"/>
        <v>0.0166108381544202</v>
      </c>
      <c r="G20" s="2">
        <f t="shared" si="14"/>
        <v>-0.00125759798784196</v>
      </c>
      <c r="H20" s="2">
        <f t="shared" si="14"/>
        <v>-0.545454545454545</v>
      </c>
      <c r="I20" s="2">
        <f t="shared" si="14"/>
        <v>-0.0588235294117647</v>
      </c>
      <c r="J20" s="2">
        <f t="shared" si="14"/>
        <v>0.05</v>
      </c>
      <c r="K20" s="2">
        <f t="shared" si="14"/>
        <v>-0.0344827586206897</v>
      </c>
      <c r="L20" s="2">
        <f t="shared" si="14"/>
        <v>-0.00475984041053463</v>
      </c>
      <c r="M20" s="2">
        <f t="shared" si="14"/>
        <v>0.0150418457362587</v>
      </c>
      <c r="N20" s="2">
        <f t="shared" si="14"/>
        <v>-0.6</v>
      </c>
      <c r="O20" s="2">
        <f t="shared" si="14"/>
        <v>-0.285714285714286</v>
      </c>
      <c r="P20" s="2">
        <f t="shared" si="14"/>
        <v>0.0526315789473684</v>
      </c>
      <c r="Q20" s="2">
        <f t="shared" si="14"/>
        <v>-0.0571428571428571</v>
      </c>
      <c r="R20" s="2">
        <f t="shared" si="14"/>
        <v>-0.334534863304449</v>
      </c>
      <c r="S20" s="2">
        <f t="shared" si="14"/>
        <v>-0.136826783114994</v>
      </c>
      <c r="T20" s="2">
        <f t="shared" si="14"/>
        <v>-0.6</v>
      </c>
      <c r="U20" s="2">
        <f t="shared" si="14"/>
        <v>-0.666666666666667</v>
      </c>
      <c r="V20" s="2">
        <f t="shared" si="14"/>
        <v>-0.5</v>
      </c>
      <c r="W20" s="2">
        <f t="shared" si="14"/>
        <v>-0.2</v>
      </c>
      <c r="X20" s="2">
        <f t="shared" si="14"/>
        <v>0.321550148394409</v>
      </c>
      <c r="Y20" s="2">
        <f t="shared" si="14"/>
        <v>0.316203748066419</v>
      </c>
      <c r="Z20" s="2">
        <f t="shared" si="14"/>
        <v>-0.129032258064516</v>
      </c>
      <c r="AA20" s="2">
        <f t="shared" si="14"/>
        <v>0.0204081632653061</v>
      </c>
      <c r="AB20" s="2">
        <f t="shared" si="14"/>
        <v>0.0149253731343284</v>
      </c>
      <c r="AC20" s="2">
        <f t="shared" si="14"/>
        <v>-0.0099009900990099</v>
      </c>
      <c r="AD20" s="2">
        <f t="shared" si="14"/>
        <v>-0.0375413022043322</v>
      </c>
      <c r="AE20" s="2">
        <f t="shared" si="14"/>
        <v>-0.0832992129566451</v>
      </c>
    </row>
    <row r="21" spans="1:31">
      <c r="A21" s="2"/>
      <c r="B21" s="2">
        <f>(B11-B12)/B12</f>
        <v>-0.6</v>
      </c>
      <c r="C21" s="2">
        <f t="shared" ref="C21:AE21" si="15">(C11-C12)/C12</f>
        <v>-0.642857142857143</v>
      </c>
      <c r="D21" s="2">
        <f t="shared" si="15"/>
        <v>-0.658536585365854</v>
      </c>
      <c r="E21" s="2">
        <f t="shared" si="15"/>
        <v>-0.584905660377358</v>
      </c>
      <c r="F21" s="2">
        <f t="shared" si="15"/>
        <v>1.2982870063162</v>
      </c>
      <c r="G21" s="2">
        <f t="shared" si="15"/>
        <v>1.35653538105854</v>
      </c>
      <c r="H21" s="2">
        <f t="shared" si="15"/>
        <v>-0.454545454545455</v>
      </c>
      <c r="I21" s="2">
        <f t="shared" si="15"/>
        <v>-0.411764705882353</v>
      </c>
      <c r="J21" s="2">
        <f t="shared" si="15"/>
        <v>-0.3</v>
      </c>
      <c r="K21" s="2">
        <f t="shared" si="15"/>
        <v>-0.241379310344828</v>
      </c>
      <c r="L21" s="2">
        <f t="shared" si="15"/>
        <v>-0.0411815669809254</v>
      </c>
      <c r="M21" s="2">
        <f t="shared" si="15"/>
        <v>-0.0218859026821036</v>
      </c>
      <c r="N21" s="2">
        <f t="shared" si="15"/>
        <v>-0.4</v>
      </c>
      <c r="O21" s="2">
        <f t="shared" si="15"/>
        <v>-0.214285714285714</v>
      </c>
      <c r="P21" s="2">
        <f t="shared" si="15"/>
        <v>-0.157894736842105</v>
      </c>
      <c r="Q21" s="2">
        <f t="shared" si="15"/>
        <v>-0.114285714285714</v>
      </c>
      <c r="R21" s="2">
        <f t="shared" si="15"/>
        <v>-0.2844940663699</v>
      </c>
      <c r="S21" s="2">
        <f t="shared" si="15"/>
        <v>0.0800582241630288</v>
      </c>
      <c r="T21" s="2">
        <f t="shared" si="15"/>
        <v>-0.6</v>
      </c>
      <c r="U21" s="2">
        <f t="shared" si="15"/>
        <v>-0.166666666666667</v>
      </c>
      <c r="V21" s="2">
        <f t="shared" si="15"/>
        <v>-0.375</v>
      </c>
      <c r="W21" s="2">
        <f t="shared" si="15"/>
        <v>-0.2</v>
      </c>
      <c r="X21" s="2">
        <f t="shared" si="15"/>
        <v>0.323647891270839</v>
      </c>
      <c r="Y21" s="2">
        <f t="shared" si="15"/>
        <v>0.409289400555776</v>
      </c>
      <c r="Z21" s="2">
        <f t="shared" si="15"/>
        <v>-0.354838709677419</v>
      </c>
      <c r="AA21" s="2">
        <f t="shared" si="15"/>
        <v>-0.0204081632653061</v>
      </c>
      <c r="AB21" s="2">
        <f t="shared" si="15"/>
        <v>-0.0447761194029851</v>
      </c>
      <c r="AC21" s="2">
        <f t="shared" si="15"/>
        <v>-0.118811881188119</v>
      </c>
      <c r="AD21" s="2">
        <f t="shared" si="15"/>
        <v>0.180807273311846</v>
      </c>
      <c r="AE21" s="2">
        <f t="shared" si="15"/>
        <v>0.307492834720896</v>
      </c>
    </row>
    <row r="26" spans="1:1">
      <c r="A26" s="8"/>
    </row>
    <row r="27" spans="1:1">
      <c r="A27" s="8"/>
    </row>
    <row r="28" spans="1:6">
      <c r="A28" s="8"/>
      <c r="B28" s="16" t="s">
        <v>3</v>
      </c>
      <c r="C28" s="16"/>
      <c r="D28" s="16"/>
      <c r="E28" s="16"/>
      <c r="F28" s="16"/>
    </row>
    <row r="29" spans="1:6">
      <c r="A29" s="16" t="s">
        <v>3</v>
      </c>
      <c r="B29" t="s">
        <v>0</v>
      </c>
      <c r="C29" t="s">
        <v>1</v>
      </c>
      <c r="D29" t="s">
        <v>2</v>
      </c>
      <c r="E29" t="s">
        <v>19</v>
      </c>
      <c r="F29" t="s">
        <v>20</v>
      </c>
    </row>
    <row r="30" spans="1:6">
      <c r="A30" s="16"/>
      <c r="B30">
        <v>-0.2</v>
      </c>
      <c r="C30">
        <v>-0.636363636363636</v>
      </c>
      <c r="D30">
        <v>-0.4</v>
      </c>
      <c r="E30">
        <v>-0.2</v>
      </c>
      <c r="F30">
        <v>-0.193548387096774</v>
      </c>
    </row>
    <row r="31" spans="1:6">
      <c r="A31" s="16"/>
      <c r="B31">
        <v>-0.466666666666667</v>
      </c>
      <c r="C31">
        <v>-0.181818181818182</v>
      </c>
      <c r="D31">
        <v>-1</v>
      </c>
      <c r="E31">
        <v>-0.6</v>
      </c>
      <c r="F31">
        <v>-0.258064516129032</v>
      </c>
    </row>
    <row r="32" spans="1:6">
      <c r="A32" s="16"/>
      <c r="B32">
        <v>-0.466666666666667</v>
      </c>
      <c r="C32">
        <v>-0.363636363636364</v>
      </c>
      <c r="D32">
        <v>-0.6</v>
      </c>
      <c r="E32">
        <v>-0.8</v>
      </c>
      <c r="F32">
        <v>-0.354838709677419</v>
      </c>
    </row>
    <row r="33" spans="1:6">
      <c r="A33" s="16"/>
      <c r="B33">
        <v>-0.2</v>
      </c>
      <c r="C33">
        <v>-0.727272727272727</v>
      </c>
      <c r="D33">
        <v>-0.8</v>
      </c>
      <c r="E33">
        <v>-0.8</v>
      </c>
      <c r="F33">
        <v>-0.32258064516129</v>
      </c>
    </row>
    <row r="34" spans="1:6">
      <c r="A34" s="16"/>
      <c r="B34">
        <v>-0.0666666666666667</v>
      </c>
      <c r="C34">
        <v>-0.363636363636364</v>
      </c>
      <c r="D34">
        <v>-0.6</v>
      </c>
      <c r="E34">
        <v>-0.2</v>
      </c>
      <c r="F34">
        <v>-0.193548387096774</v>
      </c>
    </row>
    <row r="35" spans="1:6">
      <c r="A35" s="16"/>
      <c r="B35">
        <v>-0.333333333333333</v>
      </c>
      <c r="C35">
        <v>-0.363636363636364</v>
      </c>
      <c r="D35">
        <v>-0.6</v>
      </c>
      <c r="E35">
        <v>-0.2</v>
      </c>
      <c r="F35">
        <v>-0.225806451612903</v>
      </c>
    </row>
    <row r="36" spans="1:6">
      <c r="A36" s="16"/>
      <c r="B36">
        <v>0</v>
      </c>
      <c r="C36">
        <v>-0.545454545454545</v>
      </c>
      <c r="D36">
        <v>-0.4</v>
      </c>
      <c r="E36">
        <v>-0.8</v>
      </c>
      <c r="F36">
        <v>-0.32258064516129</v>
      </c>
    </row>
    <row r="37" spans="1:6">
      <c r="A37" s="16"/>
      <c r="B37">
        <v>-0.2</v>
      </c>
      <c r="C37">
        <v>-0.545454545454545</v>
      </c>
      <c r="D37">
        <v>-0.6</v>
      </c>
      <c r="E37">
        <v>-0.6</v>
      </c>
      <c r="F37">
        <v>-0.129032258064516</v>
      </c>
    </row>
    <row r="38" spans="1:6">
      <c r="A38" s="16"/>
      <c r="B38">
        <v>-0.6</v>
      </c>
      <c r="C38">
        <v>-0.454545454545455</v>
      </c>
      <c r="D38">
        <v>-0.4</v>
      </c>
      <c r="E38">
        <v>-0.6</v>
      </c>
      <c r="F38">
        <v>-0.354838709677419</v>
      </c>
    </row>
    <row r="39" spans="1:6">
      <c r="A39" s="16"/>
      <c r="B39" s="16" t="s">
        <v>7</v>
      </c>
      <c r="C39" s="16"/>
      <c r="D39" s="16"/>
      <c r="E39" s="16"/>
      <c r="F39" s="16"/>
    </row>
    <row r="40" spans="2:6">
      <c r="B40" t="s">
        <v>0</v>
      </c>
      <c r="C40" t="s">
        <v>1</v>
      </c>
      <c r="D40" t="s">
        <v>2</v>
      </c>
      <c r="E40" t="s">
        <v>19</v>
      </c>
      <c r="F40" t="s">
        <v>20</v>
      </c>
    </row>
    <row r="41" spans="1:6">
      <c r="A41" s="16" t="s">
        <v>7</v>
      </c>
      <c r="B41">
        <v>0.0542334337418086</v>
      </c>
      <c r="C41">
        <v>0.268971790880097</v>
      </c>
      <c r="D41">
        <v>-0.243841728550624</v>
      </c>
      <c r="E41">
        <v>0.0527922669316099</v>
      </c>
      <c r="F41">
        <v>0.280783273273203</v>
      </c>
    </row>
    <row r="42" spans="1:6">
      <c r="A42" s="16"/>
      <c r="B42">
        <v>0.121650789695016</v>
      </c>
      <c r="C42">
        <v>-0.0516909921410015</v>
      </c>
      <c r="D42">
        <v>-0.229774532384504</v>
      </c>
      <c r="E42">
        <v>0.20616632911715</v>
      </c>
      <c r="F42">
        <v>0.0132886491609325</v>
      </c>
    </row>
    <row r="43" spans="1:6">
      <c r="A43" s="16"/>
      <c r="B43">
        <v>-0.0456108046812206</v>
      </c>
      <c r="C43">
        <v>0.41368856899224</v>
      </c>
      <c r="D43">
        <v>-0.367182739281768</v>
      </c>
      <c r="E43">
        <v>0.285096392678363</v>
      </c>
      <c r="F43">
        <v>0.518467471564349</v>
      </c>
    </row>
    <row r="44" spans="1:6">
      <c r="A44" s="16"/>
      <c r="B44">
        <v>-0.00891059864868202</v>
      </c>
      <c r="C44">
        <v>-0.0178899466668043</v>
      </c>
      <c r="D44">
        <v>0.0520961361688051</v>
      </c>
      <c r="E44">
        <v>0.155123906148497</v>
      </c>
      <c r="F44">
        <v>-0.0581062482488781</v>
      </c>
    </row>
    <row r="45" spans="1:6">
      <c r="A45" s="16"/>
      <c r="B45">
        <v>-0.041120280654416</v>
      </c>
      <c r="C45">
        <v>-0.00732640793544242</v>
      </c>
      <c r="D45">
        <v>-0.225271377077287</v>
      </c>
      <c r="E45">
        <v>0.195757225470345</v>
      </c>
      <c r="F45">
        <v>0.0132886491609325</v>
      </c>
    </row>
    <row r="46" spans="1:6">
      <c r="A46" s="16"/>
      <c r="B46">
        <v>0.00254841130753444</v>
      </c>
      <c r="C46">
        <v>0.0779451880788378</v>
      </c>
      <c r="D46">
        <v>-0.119529854060587</v>
      </c>
      <c r="E46">
        <v>0.0239891028825452</v>
      </c>
      <c r="F46">
        <v>-0.0585261729163671</v>
      </c>
    </row>
    <row r="47" spans="1:6">
      <c r="A47" s="16"/>
      <c r="B47">
        <v>-4.76381433860299e-5</v>
      </c>
      <c r="C47">
        <v>-0.0932758476321334</v>
      </c>
      <c r="D47">
        <v>-0.166348209582633</v>
      </c>
      <c r="E47">
        <v>0.221809838613115</v>
      </c>
      <c r="F47">
        <v>0.0435575837469961</v>
      </c>
    </row>
    <row r="48" spans="1:6">
      <c r="A48" s="16"/>
      <c r="B48">
        <v>0.0166108381544202</v>
      </c>
      <c r="C48">
        <v>-0.00475984041053463</v>
      </c>
      <c r="D48">
        <v>-0.334534863304449</v>
      </c>
      <c r="E48">
        <v>0.321550148394409</v>
      </c>
      <c r="F48">
        <v>-0.0375413022043322</v>
      </c>
    </row>
    <row r="49" spans="1:6">
      <c r="A49" s="16"/>
      <c r="B49">
        <v>0.194553065527733</v>
      </c>
      <c r="C49">
        <v>-0.0411815669809254</v>
      </c>
      <c r="D49">
        <v>-0.2844940663699</v>
      </c>
      <c r="E49">
        <v>0.323647891270839</v>
      </c>
      <c r="F49">
        <v>0.180807273311846</v>
      </c>
    </row>
    <row r="50" spans="2:6">
      <c r="B50" s="16" t="s">
        <v>8</v>
      </c>
      <c r="C50" s="16"/>
      <c r="D50" s="16"/>
      <c r="E50" s="16"/>
      <c r="F50" s="16"/>
    </row>
    <row r="51" spans="2:6">
      <c r="B51" t="s">
        <v>0</v>
      </c>
      <c r="C51" t="s">
        <v>1</v>
      </c>
      <c r="D51" t="s">
        <v>2</v>
      </c>
      <c r="E51" t="s">
        <v>19</v>
      </c>
      <c r="F51" t="s">
        <v>20</v>
      </c>
    </row>
    <row r="52" spans="1:6">
      <c r="A52" s="16" t="s">
        <v>8</v>
      </c>
      <c r="B52">
        <v>0.0385663382938582</v>
      </c>
      <c r="C52">
        <v>0.292042798489303</v>
      </c>
      <c r="D52">
        <v>-0.100436681222707</v>
      </c>
      <c r="E52">
        <v>0.12318790981643</v>
      </c>
      <c r="F52">
        <v>0.23470269778445</v>
      </c>
    </row>
    <row r="53" spans="1:6">
      <c r="A53" s="16"/>
      <c r="B53">
        <v>0.139174177321313</v>
      </c>
      <c r="C53">
        <v>-0.0335382780530944</v>
      </c>
      <c r="D53">
        <v>0.291120815138281</v>
      </c>
      <c r="E53">
        <v>0.199846682454724</v>
      </c>
      <c r="F53">
        <v>0.0449934033938422</v>
      </c>
    </row>
    <row r="54" spans="1:6">
      <c r="A54" s="16"/>
      <c r="B54">
        <v>-0.351289037937542</v>
      </c>
      <c r="C54">
        <v>0.453119752147121</v>
      </c>
      <c r="D54">
        <v>-0.183406113537118</v>
      </c>
      <c r="E54">
        <v>0.30730585481376</v>
      </c>
      <c r="F54">
        <v>0.620945361903462</v>
      </c>
    </row>
    <row r="55" spans="1:6">
      <c r="A55" s="16"/>
      <c r="B55">
        <v>-0.0819534688744469</v>
      </c>
      <c r="C55">
        <v>-0.150747465608358</v>
      </c>
      <c r="D55">
        <v>0.120815138282386</v>
      </c>
      <c r="E55">
        <v>0.0177820974387757</v>
      </c>
      <c r="F55">
        <v>-0.0173331513579907</v>
      </c>
    </row>
    <row r="56" spans="1:6">
      <c r="A56" s="16"/>
      <c r="B56">
        <v>-0.094529448752883</v>
      </c>
      <c r="C56">
        <v>0.0288362018739764</v>
      </c>
      <c r="D56">
        <v>-0.21542940320233</v>
      </c>
      <c r="E56">
        <v>0.340159614515886</v>
      </c>
      <c r="F56">
        <v>0.0449934033938422</v>
      </c>
    </row>
    <row r="57" spans="1:6">
      <c r="A57" s="16"/>
      <c r="B57">
        <v>-0.00230559631104643</v>
      </c>
      <c r="C57">
        <v>0.0171838265029857</v>
      </c>
      <c r="D57">
        <v>-0.126637554585153</v>
      </c>
      <c r="E57">
        <v>0.0280488973456904</v>
      </c>
      <c r="F57">
        <v>-0.0482689595559814</v>
      </c>
    </row>
    <row r="58" spans="1:6">
      <c r="A58" s="16"/>
      <c r="B58">
        <v>-0.00020959966463768</v>
      </c>
      <c r="C58">
        <v>-0.0897438533719928</v>
      </c>
      <c r="D58">
        <v>-0.14410480349345</v>
      </c>
      <c r="E58">
        <v>0.298407961561101</v>
      </c>
      <c r="F58">
        <v>0.266548382694144</v>
      </c>
    </row>
    <row r="59" spans="1:6">
      <c r="A59" s="16"/>
      <c r="B59">
        <v>-0.00125759798784196</v>
      </c>
      <c r="C59">
        <v>0.0150418457362587</v>
      </c>
      <c r="D59">
        <v>-0.136826783114994</v>
      </c>
      <c r="E59">
        <v>0.316203748066419</v>
      </c>
      <c r="F59">
        <v>-0.0832992129566451</v>
      </c>
    </row>
    <row r="60" spans="1:6">
      <c r="A60" s="16"/>
      <c r="B60">
        <v>0.205198071683084</v>
      </c>
      <c r="C60">
        <v>-0.0218859026821036</v>
      </c>
      <c r="D60">
        <v>0.0800582241630288</v>
      </c>
      <c r="E60">
        <v>0.409289400555776</v>
      </c>
      <c r="F60">
        <v>0.307492834720896</v>
      </c>
    </row>
  </sheetData>
  <mergeCells count="9">
    <mergeCell ref="B1:G1"/>
    <mergeCell ref="H1:L1"/>
    <mergeCell ref="N1:S1"/>
    <mergeCell ref="B28:F28"/>
    <mergeCell ref="B39:F39"/>
    <mergeCell ref="B50:F50"/>
    <mergeCell ref="A29:A39"/>
    <mergeCell ref="A41:A49"/>
    <mergeCell ref="A52:A6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2"/>
  <sheetViews>
    <sheetView workbookViewId="0">
      <selection activeCell="S35" sqref="S35"/>
    </sheetView>
  </sheetViews>
  <sheetFormatPr defaultColWidth="9" defaultRowHeight="14"/>
  <cols>
    <col min="1" max="1" width="29.0833333333333" customWidth="1"/>
    <col min="2" max="9" width="13.8333333333333"/>
    <col min="11" max="13" width="13.8333333333333"/>
    <col min="15" max="15" width="13.8333333333333"/>
    <col min="17" max="19" width="13.8333333333333"/>
    <col min="21" max="21" width="13.8333333333333"/>
    <col min="23" max="31" width="13.8333333333333"/>
  </cols>
  <sheetData>
    <row r="1" spans="1:31">
      <c r="A1" s="2"/>
      <c r="B1" s="3" t="s">
        <v>1</v>
      </c>
      <c r="C1" s="3"/>
      <c r="D1" s="3"/>
      <c r="E1" s="3"/>
      <c r="F1" s="3"/>
      <c r="G1" s="4"/>
      <c r="H1" s="5" t="s">
        <v>1</v>
      </c>
      <c r="I1" s="5"/>
      <c r="J1" s="5"/>
      <c r="K1" s="5"/>
      <c r="L1" s="5"/>
      <c r="M1" s="5"/>
      <c r="N1" s="18" t="s">
        <v>2</v>
      </c>
      <c r="O1" s="18"/>
      <c r="P1" s="18"/>
      <c r="Q1" s="18"/>
      <c r="R1" s="18"/>
      <c r="S1" s="18"/>
      <c r="T1" s="22" t="s">
        <v>19</v>
      </c>
      <c r="U1" s="22"/>
      <c r="V1" s="22"/>
      <c r="W1" s="22"/>
      <c r="X1" s="22"/>
      <c r="Y1" s="22"/>
      <c r="Z1" s="40" t="s">
        <v>20</v>
      </c>
      <c r="AA1" s="40"/>
      <c r="AB1" s="40"/>
      <c r="AC1" s="40"/>
      <c r="AD1" s="40"/>
      <c r="AE1" s="40"/>
    </row>
    <row r="2" spans="1:31">
      <c r="A2" s="2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3</v>
      </c>
      <c r="I2" s="7" t="s">
        <v>4</v>
      </c>
      <c r="J2" s="7" t="s">
        <v>5</v>
      </c>
      <c r="K2" s="7" t="s">
        <v>6</v>
      </c>
      <c r="L2" s="7" t="s">
        <v>7</v>
      </c>
      <c r="M2" s="7" t="s">
        <v>8</v>
      </c>
      <c r="N2" s="19" t="s">
        <v>3</v>
      </c>
      <c r="O2" s="19" t="s">
        <v>4</v>
      </c>
      <c r="P2" s="19" t="s">
        <v>5</v>
      </c>
      <c r="Q2" s="19" t="s">
        <v>6</v>
      </c>
      <c r="R2" s="19" t="s">
        <v>7</v>
      </c>
      <c r="S2" s="19" t="s">
        <v>8</v>
      </c>
      <c r="T2" s="23" t="s">
        <v>3</v>
      </c>
      <c r="U2" s="23" t="s">
        <v>4</v>
      </c>
      <c r="V2" s="23" t="s">
        <v>5</v>
      </c>
      <c r="W2" s="23" t="s">
        <v>6</v>
      </c>
      <c r="X2" s="23" t="s">
        <v>7</v>
      </c>
      <c r="Y2" s="23" t="s">
        <v>8</v>
      </c>
      <c r="Z2" s="41"/>
      <c r="AA2" s="41"/>
      <c r="AB2" s="41"/>
      <c r="AC2" s="41"/>
      <c r="AD2" s="41"/>
      <c r="AE2" s="41"/>
    </row>
    <row r="3" spans="1:31">
      <c r="A3" s="36" t="s">
        <v>21</v>
      </c>
      <c r="B3" s="9">
        <v>6</v>
      </c>
      <c r="C3" s="9">
        <v>23</v>
      </c>
      <c r="D3" s="9">
        <v>35</v>
      </c>
      <c r="E3" s="9">
        <v>51</v>
      </c>
      <c r="F3" s="9">
        <v>24.6456465103524</v>
      </c>
      <c r="G3" s="9">
        <v>17.0192307692308</v>
      </c>
      <c r="H3" s="10">
        <v>8</v>
      </c>
      <c r="I3" s="10">
        <v>17</v>
      </c>
      <c r="J3" s="10">
        <v>21</v>
      </c>
      <c r="K3" s="10">
        <v>25</v>
      </c>
      <c r="L3" s="10">
        <v>65.2994949494949</v>
      </c>
      <c r="M3" s="10">
        <v>45.4545454545455</v>
      </c>
      <c r="N3" s="20">
        <v>3</v>
      </c>
      <c r="O3" s="20">
        <v>12</v>
      </c>
      <c r="P3" s="20">
        <v>16</v>
      </c>
      <c r="Q3" s="20">
        <v>32</v>
      </c>
      <c r="R3" s="25">
        <v>65.9055555555556</v>
      </c>
      <c r="S3" s="25">
        <v>24.9583333333333</v>
      </c>
      <c r="T3" s="32">
        <v>1</v>
      </c>
      <c r="U3" s="32">
        <v>5</v>
      </c>
      <c r="V3" s="32">
        <v>5</v>
      </c>
      <c r="W3" s="32">
        <v>11</v>
      </c>
      <c r="X3" s="32">
        <v>93.1757575757576</v>
      </c>
      <c r="Y3" s="32">
        <v>56.3181818181818</v>
      </c>
      <c r="Z3" s="42">
        <v>18</v>
      </c>
      <c r="AA3" s="42">
        <v>49</v>
      </c>
      <c r="AB3" s="42">
        <v>61</v>
      </c>
      <c r="AC3" s="42">
        <v>93</v>
      </c>
      <c r="AD3" s="42">
        <v>55.8402970531647</v>
      </c>
      <c r="AE3" s="42">
        <v>31.6960784313725</v>
      </c>
    </row>
    <row r="4" spans="1:31">
      <c r="A4" s="36" t="s">
        <v>22</v>
      </c>
      <c r="B4" s="9">
        <v>9</v>
      </c>
      <c r="C4" s="9">
        <v>24</v>
      </c>
      <c r="D4" s="9">
        <v>33</v>
      </c>
      <c r="E4" s="9">
        <v>50</v>
      </c>
      <c r="F4" s="9">
        <v>25.4026103798163</v>
      </c>
      <c r="G4" s="9">
        <v>17.3653846153846</v>
      </c>
      <c r="H4" s="10">
        <v>7</v>
      </c>
      <c r="I4" s="10">
        <v>17</v>
      </c>
      <c r="J4" s="10">
        <v>22</v>
      </c>
      <c r="K4" s="10">
        <v>26</v>
      </c>
      <c r="L4" s="10">
        <v>67.1531986531987</v>
      </c>
      <c r="M4" s="10">
        <v>47.9393939393939</v>
      </c>
      <c r="N4" s="20">
        <v>3</v>
      </c>
      <c r="O4" s="20">
        <v>12</v>
      </c>
      <c r="P4" s="20">
        <v>16</v>
      </c>
      <c r="Q4" s="20">
        <v>32</v>
      </c>
      <c r="R4" s="25">
        <v>65.1597222222222</v>
      </c>
      <c r="S4" s="25">
        <v>24</v>
      </c>
      <c r="T4" s="32">
        <v>1</v>
      </c>
      <c r="U4" s="32">
        <v>5</v>
      </c>
      <c r="V4" s="32">
        <v>5</v>
      </c>
      <c r="W4" s="32">
        <v>9</v>
      </c>
      <c r="X4" s="32">
        <v>92.8863636363636</v>
      </c>
      <c r="Y4" s="32">
        <v>54.4090909090909</v>
      </c>
      <c r="Z4" s="42">
        <v>20</v>
      </c>
      <c r="AA4" s="42">
        <v>50</v>
      </c>
      <c r="AB4" s="42">
        <v>63</v>
      </c>
      <c r="AC4" s="42">
        <v>90</v>
      </c>
      <c r="AD4" s="42">
        <v>51.0538610898905</v>
      </c>
      <c r="AE4" s="42">
        <v>26.7450980392157</v>
      </c>
    </row>
    <row r="5" spans="1:31">
      <c r="A5" s="36" t="s">
        <v>23</v>
      </c>
      <c r="B5" s="9">
        <v>10</v>
      </c>
      <c r="C5" s="9">
        <v>24</v>
      </c>
      <c r="D5" s="9">
        <v>30</v>
      </c>
      <c r="E5" s="9">
        <v>51</v>
      </c>
      <c r="F5" s="9">
        <v>25.8051350610174</v>
      </c>
      <c r="G5" s="9">
        <v>17.7692307692308</v>
      </c>
      <c r="H5" s="10">
        <v>8</v>
      </c>
      <c r="I5" s="10">
        <v>17</v>
      </c>
      <c r="J5" s="10">
        <v>21</v>
      </c>
      <c r="K5" s="10">
        <v>25</v>
      </c>
      <c r="L5" s="10">
        <v>68.2574074074074</v>
      </c>
      <c r="M5" s="10">
        <v>47.7272727272727</v>
      </c>
      <c r="N5" s="20">
        <v>3</v>
      </c>
      <c r="O5" s="20">
        <v>12</v>
      </c>
      <c r="P5" s="20">
        <v>16</v>
      </c>
      <c r="Q5" s="20">
        <v>32</v>
      </c>
      <c r="R5" s="25">
        <v>64.8722222222222</v>
      </c>
      <c r="S5" s="25">
        <v>23.7916666666667</v>
      </c>
      <c r="T5" s="32">
        <v>1</v>
      </c>
      <c r="U5" s="32">
        <v>5</v>
      </c>
      <c r="V5" s="32">
        <v>5</v>
      </c>
      <c r="W5" s="32">
        <v>10</v>
      </c>
      <c r="X5" s="32">
        <v>92.3810606060606</v>
      </c>
      <c r="Y5" s="32">
        <v>54.0909090909091</v>
      </c>
      <c r="Z5" s="42">
        <v>18</v>
      </c>
      <c r="AA5" s="42">
        <v>51</v>
      </c>
      <c r="AB5" s="42">
        <v>65</v>
      </c>
      <c r="AC5" s="42">
        <v>91</v>
      </c>
      <c r="AD5" s="42">
        <v>50.935605176414</v>
      </c>
      <c r="AE5" s="42">
        <v>26.5588235294118</v>
      </c>
    </row>
    <row r="6" spans="1:31">
      <c r="A6" s="36" t="s">
        <v>24</v>
      </c>
      <c r="B6" s="9">
        <v>7</v>
      </c>
      <c r="C6" s="9">
        <v>26</v>
      </c>
      <c r="D6" s="9">
        <v>30</v>
      </c>
      <c r="E6" s="9">
        <v>52</v>
      </c>
      <c r="F6" s="9">
        <v>25.5195924173865</v>
      </c>
      <c r="G6" s="9">
        <v>17.6923076923077</v>
      </c>
      <c r="H6" s="10">
        <v>8</v>
      </c>
      <c r="I6" s="10">
        <v>17</v>
      </c>
      <c r="J6" s="10">
        <v>21</v>
      </c>
      <c r="K6" s="10">
        <v>26</v>
      </c>
      <c r="L6" s="10">
        <v>68.3632996632997</v>
      </c>
      <c r="M6" s="10">
        <v>49.2424242424242</v>
      </c>
      <c r="N6" s="20">
        <v>3</v>
      </c>
      <c r="O6" s="20">
        <v>12</v>
      </c>
      <c r="P6" s="20">
        <v>16</v>
      </c>
      <c r="Q6" s="20">
        <v>33</v>
      </c>
      <c r="R6" s="25">
        <v>64.9993055555556</v>
      </c>
      <c r="S6" s="25">
        <v>23.9583333333333</v>
      </c>
      <c r="T6" s="32">
        <v>1</v>
      </c>
      <c r="U6" s="32">
        <v>4</v>
      </c>
      <c r="V6" s="32">
        <v>5</v>
      </c>
      <c r="W6" s="32">
        <v>11</v>
      </c>
      <c r="X6" s="32">
        <v>89.8916666666667</v>
      </c>
      <c r="Y6" s="32">
        <v>54.0909090909091</v>
      </c>
      <c r="Z6" s="42">
        <v>17</v>
      </c>
      <c r="AA6" s="42">
        <v>48</v>
      </c>
      <c r="AB6" s="42">
        <v>64</v>
      </c>
      <c r="AC6" s="42">
        <v>90</v>
      </c>
      <c r="AD6" s="42">
        <v>50.6075096200096</v>
      </c>
      <c r="AE6" s="42">
        <v>26.2549019607843</v>
      </c>
    </row>
    <row r="7" spans="1:31">
      <c r="A7" s="36" t="s">
        <v>25</v>
      </c>
      <c r="B7" s="9">
        <v>8</v>
      </c>
      <c r="C7" s="9">
        <v>22</v>
      </c>
      <c r="D7" s="9">
        <v>33</v>
      </c>
      <c r="E7" s="9">
        <v>50</v>
      </c>
      <c r="F7" s="9">
        <v>25.0911850404498</v>
      </c>
      <c r="G7" s="9">
        <v>17.2307692307692</v>
      </c>
      <c r="H7" s="10">
        <v>7</v>
      </c>
      <c r="I7" s="10">
        <v>18</v>
      </c>
      <c r="J7" s="10">
        <v>20</v>
      </c>
      <c r="K7" s="10">
        <v>26</v>
      </c>
      <c r="L7" s="10">
        <v>71.5540404040404</v>
      </c>
      <c r="M7" s="10">
        <v>51.1212121212121</v>
      </c>
      <c r="N7" s="20">
        <v>3</v>
      </c>
      <c r="O7" s="20">
        <v>12</v>
      </c>
      <c r="P7" s="20">
        <v>16</v>
      </c>
      <c r="Q7" s="20">
        <v>32</v>
      </c>
      <c r="R7" s="25">
        <v>65.2833333333333</v>
      </c>
      <c r="S7" s="25">
        <v>23.8333333333333</v>
      </c>
      <c r="T7" s="32">
        <v>1</v>
      </c>
      <c r="U7" s="32">
        <v>4</v>
      </c>
      <c r="V7" s="32">
        <v>5</v>
      </c>
      <c r="W7" s="32">
        <v>11</v>
      </c>
      <c r="X7" s="32">
        <v>90.5867424242424</v>
      </c>
      <c r="Y7" s="32">
        <v>54.1818181818182</v>
      </c>
      <c r="Z7" s="42">
        <v>17</v>
      </c>
      <c r="AA7" s="42">
        <v>51</v>
      </c>
      <c r="AB7" s="42">
        <v>66</v>
      </c>
      <c r="AC7" s="42">
        <v>88</v>
      </c>
      <c r="AD7" s="42">
        <v>51.7971201864584</v>
      </c>
      <c r="AE7" s="42">
        <v>27.7352941176471</v>
      </c>
    </row>
    <row r="8" spans="1:31">
      <c r="A8" s="36" t="s">
        <v>26</v>
      </c>
      <c r="B8" s="9">
        <v>10</v>
      </c>
      <c r="C8" s="9">
        <v>22</v>
      </c>
      <c r="D8" s="9">
        <v>32</v>
      </c>
      <c r="E8" s="9">
        <v>51</v>
      </c>
      <c r="F8" s="9">
        <v>25.3083693267517</v>
      </c>
      <c r="G8" s="9">
        <v>17.1538461538461</v>
      </c>
      <c r="H8" s="10">
        <v>7</v>
      </c>
      <c r="I8" s="10">
        <v>16</v>
      </c>
      <c r="J8" s="10">
        <v>20</v>
      </c>
      <c r="K8" s="10">
        <v>25</v>
      </c>
      <c r="L8" s="10">
        <v>69.0806397306397</v>
      </c>
      <c r="M8" s="10">
        <v>48.5151515151515</v>
      </c>
      <c r="N8" s="20">
        <v>3</v>
      </c>
      <c r="O8" s="20">
        <v>12</v>
      </c>
      <c r="P8" s="20">
        <v>16</v>
      </c>
      <c r="Q8" s="20">
        <v>31</v>
      </c>
      <c r="R8" s="25">
        <v>65.1534722222222</v>
      </c>
      <c r="S8" s="25">
        <v>23.9166666666667</v>
      </c>
      <c r="T8" s="32">
        <v>1</v>
      </c>
      <c r="U8" s="32">
        <v>4</v>
      </c>
      <c r="V8" s="32">
        <v>5</v>
      </c>
      <c r="W8" s="32">
        <v>9</v>
      </c>
      <c r="X8" s="32">
        <v>92.4734848484848</v>
      </c>
      <c r="Y8" s="32">
        <v>53.8636363636364</v>
      </c>
      <c r="Z8" s="42">
        <v>18</v>
      </c>
      <c r="AA8" s="42">
        <v>51</v>
      </c>
      <c r="AB8" s="42">
        <v>67</v>
      </c>
      <c r="AC8" s="42">
        <v>97</v>
      </c>
      <c r="AD8" s="42">
        <v>50.5257750827604</v>
      </c>
      <c r="AE8" s="42">
        <v>28.2647058823529</v>
      </c>
    </row>
    <row r="9" spans="1:31">
      <c r="A9" s="36" t="s">
        <v>27</v>
      </c>
      <c r="B9" s="9">
        <v>10</v>
      </c>
      <c r="C9" s="9">
        <v>24</v>
      </c>
      <c r="D9" s="9">
        <v>33</v>
      </c>
      <c r="E9" s="9">
        <v>49</v>
      </c>
      <c r="F9" s="9">
        <v>25.7945649938297</v>
      </c>
      <c r="G9" s="9">
        <v>17.8269230769231</v>
      </c>
      <c r="H9" s="10">
        <v>8</v>
      </c>
      <c r="I9" s="10">
        <v>17</v>
      </c>
      <c r="J9" s="10">
        <v>23</v>
      </c>
      <c r="K9" s="10">
        <v>28</v>
      </c>
      <c r="L9" s="10">
        <v>67.0345117845118</v>
      </c>
      <c r="M9" s="10">
        <v>48.2121212121212</v>
      </c>
      <c r="N9" s="20">
        <v>3</v>
      </c>
      <c r="O9" s="20">
        <v>12</v>
      </c>
      <c r="P9" s="20">
        <v>16</v>
      </c>
      <c r="Q9" s="20">
        <v>33</v>
      </c>
      <c r="R9" s="25">
        <v>64.8236111111111</v>
      </c>
      <c r="S9" s="25">
        <v>23.5</v>
      </c>
      <c r="T9" s="32">
        <v>1</v>
      </c>
      <c r="U9" s="32">
        <v>5</v>
      </c>
      <c r="V9" s="32">
        <v>5</v>
      </c>
      <c r="W9" s="32">
        <v>8</v>
      </c>
      <c r="X9" s="32">
        <v>93.1662878787879</v>
      </c>
      <c r="Y9" s="32">
        <v>53.3636363636364</v>
      </c>
      <c r="Z9" s="42">
        <v>18</v>
      </c>
      <c r="AA9" s="42">
        <v>51</v>
      </c>
      <c r="AB9" s="42">
        <v>63</v>
      </c>
      <c r="AC9" s="42">
        <v>86</v>
      </c>
      <c r="AD9" s="42">
        <v>51.8294989460431</v>
      </c>
      <c r="AE9" s="42">
        <v>27.8725490196078</v>
      </c>
    </row>
    <row r="10" spans="1:31">
      <c r="A10" s="36" t="s">
        <v>28</v>
      </c>
      <c r="B10" s="9">
        <v>9</v>
      </c>
      <c r="C10" s="9">
        <v>24</v>
      </c>
      <c r="D10" s="9">
        <v>33</v>
      </c>
      <c r="E10" s="9">
        <v>49</v>
      </c>
      <c r="F10" s="9">
        <v>25.9493658302482</v>
      </c>
      <c r="G10" s="9">
        <v>17.9615384615385</v>
      </c>
      <c r="H10" s="10">
        <v>7</v>
      </c>
      <c r="I10" s="10">
        <v>16</v>
      </c>
      <c r="J10" s="10">
        <v>20</v>
      </c>
      <c r="K10" s="10">
        <v>25</v>
      </c>
      <c r="L10" s="10">
        <v>68.0707070707071</v>
      </c>
      <c r="M10" s="10">
        <v>48.2727272727273</v>
      </c>
      <c r="N10" s="20">
        <v>3</v>
      </c>
      <c r="O10" s="20">
        <v>12</v>
      </c>
      <c r="P10" s="20">
        <v>16</v>
      </c>
      <c r="Q10" s="20">
        <v>33</v>
      </c>
      <c r="R10" s="25">
        <v>64.7923611111111</v>
      </c>
      <c r="S10" s="25">
        <v>23.5833333333333</v>
      </c>
      <c r="T10" s="32">
        <v>1</v>
      </c>
      <c r="U10" s="32">
        <v>5</v>
      </c>
      <c r="V10" s="32">
        <v>5</v>
      </c>
      <c r="W10" s="32">
        <v>11</v>
      </c>
      <c r="X10" s="32">
        <v>93.7632575757576</v>
      </c>
      <c r="Y10" s="32">
        <v>54.7727272727273</v>
      </c>
      <c r="Z10" s="42">
        <v>19</v>
      </c>
      <c r="AA10" s="42">
        <v>51</v>
      </c>
      <c r="AB10" s="42">
        <v>64</v>
      </c>
      <c r="AC10" s="42">
        <v>87</v>
      </c>
      <c r="AD10" s="42">
        <v>51.0340889638684</v>
      </c>
      <c r="AE10" s="42">
        <v>26.656862745098</v>
      </c>
    </row>
    <row r="11" spans="1:31">
      <c r="A11" s="36" t="s">
        <v>29</v>
      </c>
      <c r="B11" s="9">
        <v>9</v>
      </c>
      <c r="C11" s="9">
        <v>24</v>
      </c>
      <c r="D11" s="9">
        <v>33</v>
      </c>
      <c r="E11" s="9">
        <v>53</v>
      </c>
      <c r="F11" s="9">
        <v>25.3354380913204</v>
      </c>
      <c r="G11" s="9">
        <v>16.5961538461539</v>
      </c>
      <c r="H11" s="10">
        <v>7</v>
      </c>
      <c r="I11" s="10">
        <v>16</v>
      </c>
      <c r="J11" s="10">
        <v>20</v>
      </c>
      <c r="K11" s="10">
        <v>28</v>
      </c>
      <c r="L11" s="10">
        <v>68.112962962963</v>
      </c>
      <c r="M11" s="10">
        <v>48.4545454545455</v>
      </c>
      <c r="N11" s="20">
        <v>3</v>
      </c>
      <c r="O11" s="20">
        <v>12</v>
      </c>
      <c r="P11" s="20">
        <v>16</v>
      </c>
      <c r="Q11" s="20">
        <v>32</v>
      </c>
      <c r="R11" s="25">
        <v>64.975</v>
      </c>
      <c r="S11" s="25">
        <v>23.6666666666667</v>
      </c>
      <c r="T11" s="32">
        <v>1</v>
      </c>
      <c r="U11" s="32">
        <v>5</v>
      </c>
      <c r="V11" s="32">
        <v>5</v>
      </c>
      <c r="W11" s="32">
        <v>8</v>
      </c>
      <c r="X11" s="32">
        <v>92.7083333333333</v>
      </c>
      <c r="Y11" s="32">
        <v>53.2727272727273</v>
      </c>
      <c r="Z11" s="42">
        <v>17</v>
      </c>
      <c r="AA11" s="42">
        <v>51</v>
      </c>
      <c r="AB11" s="42">
        <v>64</v>
      </c>
      <c r="AC11" s="42">
        <v>91</v>
      </c>
      <c r="AD11" s="42">
        <v>52.0057610417904</v>
      </c>
      <c r="AE11" s="42">
        <v>27.4901960784314</v>
      </c>
    </row>
    <row r="12" ht="14.75" spans="1:31">
      <c r="A12" s="36" t="s">
        <v>30</v>
      </c>
      <c r="B12" s="9">
        <v>7</v>
      </c>
      <c r="C12" s="9">
        <v>25</v>
      </c>
      <c r="D12" s="9">
        <v>33</v>
      </c>
      <c r="E12" s="9">
        <v>50</v>
      </c>
      <c r="F12" s="9">
        <v>24.8798471136706</v>
      </c>
      <c r="G12" s="9">
        <v>16.8269230769231</v>
      </c>
      <c r="H12" s="10">
        <v>8</v>
      </c>
      <c r="I12" s="10">
        <v>18</v>
      </c>
      <c r="J12" s="10">
        <v>19</v>
      </c>
      <c r="K12" s="10">
        <v>27</v>
      </c>
      <c r="L12" s="10">
        <v>64.9324915824916</v>
      </c>
      <c r="M12" s="10">
        <v>46.5454545454545</v>
      </c>
      <c r="N12" s="20">
        <v>3</v>
      </c>
      <c r="O12" s="20">
        <v>12</v>
      </c>
      <c r="P12" s="20">
        <v>16</v>
      </c>
      <c r="Q12" s="20">
        <v>31</v>
      </c>
      <c r="R12" s="25">
        <v>65.3597222222222</v>
      </c>
      <c r="S12" s="25">
        <v>24.1666666666667</v>
      </c>
      <c r="T12" s="32">
        <v>2</v>
      </c>
      <c r="U12" s="32">
        <v>5</v>
      </c>
      <c r="V12" s="32">
        <v>5</v>
      </c>
      <c r="W12" s="32">
        <v>8</v>
      </c>
      <c r="X12" s="32">
        <v>86.0397727272727</v>
      </c>
      <c r="Y12" s="32">
        <v>49.7272727272727</v>
      </c>
      <c r="Z12" s="42">
        <v>17</v>
      </c>
      <c r="AA12" s="42">
        <v>49</v>
      </c>
      <c r="AB12" s="42">
        <v>65</v>
      </c>
      <c r="AC12" s="42">
        <v>91</v>
      </c>
      <c r="AD12" s="42">
        <v>56.2268122400475</v>
      </c>
      <c r="AE12" s="42">
        <v>32.3529411764706</v>
      </c>
    </row>
    <row r="13" ht="14.75" spans="1:31">
      <c r="A13" s="2" t="s">
        <v>18</v>
      </c>
      <c r="B13" s="12">
        <v>15</v>
      </c>
      <c r="C13" s="12">
        <v>28</v>
      </c>
      <c r="D13" s="12">
        <v>41</v>
      </c>
      <c r="E13" s="12">
        <v>53</v>
      </c>
      <c r="F13" s="13">
        <v>24.66</v>
      </c>
      <c r="G13" s="14">
        <v>18.35</v>
      </c>
      <c r="H13" s="14">
        <v>11</v>
      </c>
      <c r="I13" s="14">
        <v>17</v>
      </c>
      <c r="J13" s="14">
        <v>20</v>
      </c>
      <c r="K13" s="14">
        <v>29</v>
      </c>
      <c r="L13" s="14">
        <v>59.11</v>
      </c>
      <c r="M13" s="14">
        <v>44.21</v>
      </c>
      <c r="N13" s="21">
        <v>5</v>
      </c>
      <c r="O13" s="21">
        <v>14</v>
      </c>
      <c r="P13" s="21">
        <v>19</v>
      </c>
      <c r="Q13" s="21">
        <v>35</v>
      </c>
      <c r="R13" s="21">
        <v>67.2368055555556</v>
      </c>
      <c r="S13" s="21">
        <v>28.625</v>
      </c>
      <c r="T13" s="26">
        <v>5</v>
      </c>
      <c r="U13" s="26">
        <v>6</v>
      </c>
      <c r="V13" s="26">
        <v>8</v>
      </c>
      <c r="W13" s="26">
        <v>15</v>
      </c>
      <c r="X13" s="26">
        <v>95.16</v>
      </c>
      <c r="Y13" s="26">
        <v>66.41</v>
      </c>
      <c r="Z13" s="26">
        <v>31</v>
      </c>
      <c r="AA13" s="26">
        <v>49</v>
      </c>
      <c r="AB13" s="26">
        <v>67</v>
      </c>
      <c r="AC13" s="26">
        <v>101</v>
      </c>
      <c r="AD13" s="26">
        <v>41.18</v>
      </c>
      <c r="AE13" s="26">
        <v>21.55</v>
      </c>
    </row>
    <row r="15" spans="1:31">
      <c r="A15" s="16" t="s">
        <v>31</v>
      </c>
      <c r="B15">
        <f>(B3-B13)/B13</f>
        <v>-0.6</v>
      </c>
      <c r="C15">
        <f t="shared" ref="C15:AC15" si="0">(C3-C13)/C13</f>
        <v>-0.178571428571429</v>
      </c>
      <c r="D15">
        <f t="shared" si="0"/>
        <v>-0.146341463414634</v>
      </c>
      <c r="E15">
        <f t="shared" si="0"/>
        <v>-0.0377358490566038</v>
      </c>
      <c r="F15">
        <f>(F13-F3)/F13</f>
        <v>0.000582055541265228</v>
      </c>
      <c r="G15">
        <f>(G13-G3)/G13</f>
        <v>0.0725214839656241</v>
      </c>
      <c r="H15">
        <f>(H3-H13)/H13</f>
        <v>-0.272727272727273</v>
      </c>
      <c r="I15">
        <f t="shared" si="0"/>
        <v>0</v>
      </c>
      <c r="J15">
        <f t="shared" si="0"/>
        <v>0.05</v>
      </c>
      <c r="K15">
        <f t="shared" si="0"/>
        <v>-0.137931034482759</v>
      </c>
      <c r="L15">
        <f>(L13-L3)/L13</f>
        <v>-0.104711469285991</v>
      </c>
      <c r="M15">
        <f>(M13-M3)/M13</f>
        <v>-0.0281507680286248</v>
      </c>
      <c r="N15">
        <f t="shared" si="0"/>
        <v>-0.4</v>
      </c>
      <c r="O15">
        <f t="shared" si="0"/>
        <v>-0.142857142857143</v>
      </c>
      <c r="P15">
        <f t="shared" si="0"/>
        <v>-0.157894736842105</v>
      </c>
      <c r="Q15">
        <f t="shared" si="0"/>
        <v>-0.0857142857142857</v>
      </c>
      <c r="R15">
        <f>(R13-R3)/R13</f>
        <v>0.0197994236787475</v>
      </c>
      <c r="S15">
        <f>(S13-S3)/S13</f>
        <v>0.128093158660845</v>
      </c>
      <c r="T15">
        <f t="shared" si="0"/>
        <v>-0.8</v>
      </c>
      <c r="U15">
        <f t="shared" si="0"/>
        <v>-0.166666666666667</v>
      </c>
      <c r="V15">
        <f t="shared" si="0"/>
        <v>-0.375</v>
      </c>
      <c r="W15">
        <f t="shared" si="0"/>
        <v>-0.266666666666667</v>
      </c>
      <c r="X15">
        <f>-(X3-X13)/X13</f>
        <v>0.0208516438024632</v>
      </c>
      <c r="Y15">
        <f>-(Y3-Y13)/Y13</f>
        <v>0.151962327688875</v>
      </c>
      <c r="Z15">
        <f t="shared" si="0"/>
        <v>-0.419354838709677</v>
      </c>
      <c r="AA15">
        <f t="shared" si="0"/>
        <v>0</v>
      </c>
      <c r="AB15">
        <f t="shared" si="0"/>
        <v>-0.0895522388059701</v>
      </c>
      <c r="AC15">
        <f t="shared" si="0"/>
        <v>-0.0792079207920792</v>
      </c>
      <c r="AD15">
        <f>-(AD3-AD13)/AD13</f>
        <v>-0.356005270839356</v>
      </c>
      <c r="AE15">
        <f>-(AE3-AE13)/AE13</f>
        <v>-0.470815704472042</v>
      </c>
    </row>
    <row r="16" spans="1:31">
      <c r="A16" s="16"/>
      <c r="B16">
        <f>(B4-B13)/B13</f>
        <v>-0.4</v>
      </c>
      <c r="C16">
        <f t="shared" ref="C16:AC16" si="1">(C4-C13)/C13</f>
        <v>-0.142857142857143</v>
      </c>
      <c r="D16">
        <f t="shared" si="1"/>
        <v>-0.195121951219512</v>
      </c>
      <c r="E16">
        <f t="shared" si="1"/>
        <v>-0.0566037735849057</v>
      </c>
      <c r="F16">
        <f>(F13-F4)/F13</f>
        <v>-0.0301139651182603</v>
      </c>
      <c r="G16">
        <f>(G13-G4)/G13</f>
        <v>0.0536575141479783</v>
      </c>
      <c r="H16">
        <f t="shared" si="1"/>
        <v>-0.363636363636364</v>
      </c>
      <c r="I16">
        <f t="shared" si="1"/>
        <v>0</v>
      </c>
      <c r="J16">
        <f t="shared" si="1"/>
        <v>0.1</v>
      </c>
      <c r="K16">
        <f t="shared" si="1"/>
        <v>-0.103448275862069</v>
      </c>
      <c r="L16">
        <f>(L13-L4)/L13</f>
        <v>-0.136071707886968</v>
      </c>
      <c r="M16">
        <f>(M13-M4)/M13</f>
        <v>-0.084356343347521</v>
      </c>
      <c r="N16">
        <f t="shared" si="1"/>
        <v>-0.4</v>
      </c>
      <c r="O16">
        <f t="shared" si="1"/>
        <v>-0.142857142857143</v>
      </c>
      <c r="P16">
        <f t="shared" si="1"/>
        <v>-0.157894736842105</v>
      </c>
      <c r="Q16">
        <f t="shared" si="1"/>
        <v>-0.0857142857142857</v>
      </c>
      <c r="R16">
        <f>(R13-R4)/R13</f>
        <v>0.03089205854102</v>
      </c>
      <c r="S16">
        <f>(S13-S4)/S13</f>
        <v>0.161572052401747</v>
      </c>
      <c r="T16">
        <f t="shared" si="1"/>
        <v>-0.8</v>
      </c>
      <c r="U16">
        <f t="shared" si="1"/>
        <v>-0.166666666666667</v>
      </c>
      <c r="V16">
        <f t="shared" si="1"/>
        <v>-0.375</v>
      </c>
      <c r="W16">
        <f t="shared" si="1"/>
        <v>-0.4</v>
      </c>
      <c r="X16">
        <f>-(X4-X13)/X13</f>
        <v>0.0238927738927743</v>
      </c>
      <c r="Y16">
        <f>-(Y4-Y13)/Y13</f>
        <v>0.180709367428235</v>
      </c>
      <c r="Z16">
        <f t="shared" si="1"/>
        <v>-0.354838709677419</v>
      </c>
      <c r="AA16">
        <f t="shared" si="1"/>
        <v>0.0204081632653061</v>
      </c>
      <c r="AB16">
        <f t="shared" si="1"/>
        <v>-0.0597014925373134</v>
      </c>
      <c r="AC16">
        <f t="shared" si="1"/>
        <v>-0.108910891089109</v>
      </c>
      <c r="AD16">
        <f>-(AD4-AD13)/AD13</f>
        <v>-0.239773217335855</v>
      </c>
      <c r="AE16">
        <f>-(AE4-AE13)/AE13</f>
        <v>-0.24107183476639</v>
      </c>
    </row>
    <row r="17" spans="1:31">
      <c r="A17" s="16"/>
      <c r="B17">
        <f>(B5-B13)/B13</f>
        <v>-0.333333333333333</v>
      </c>
      <c r="C17">
        <f t="shared" ref="C17:AC17" si="2">(C5-C13)/C13</f>
        <v>-0.142857142857143</v>
      </c>
      <c r="D17">
        <f t="shared" si="2"/>
        <v>-0.268292682926829</v>
      </c>
      <c r="E17">
        <f t="shared" si="2"/>
        <v>-0.0377358490566038</v>
      </c>
      <c r="F17">
        <f>(F13-F5)/F13</f>
        <v>-0.0464369448912165</v>
      </c>
      <c r="G17">
        <f>(G13-G5)/G13</f>
        <v>0.0316495493607195</v>
      </c>
      <c r="H17">
        <f t="shared" si="2"/>
        <v>-0.272727272727273</v>
      </c>
      <c r="I17">
        <f t="shared" si="2"/>
        <v>0</v>
      </c>
      <c r="J17">
        <f t="shared" si="2"/>
        <v>0.05</v>
      </c>
      <c r="K17">
        <f t="shared" si="2"/>
        <v>-0.137931034482759</v>
      </c>
      <c r="L17">
        <f>(L13-L5)/L13</f>
        <v>-0.154752282311071</v>
      </c>
      <c r="M17">
        <f>(M13-M5)/M13</f>
        <v>-0.0795583064300542</v>
      </c>
      <c r="N17">
        <f t="shared" si="2"/>
        <v>-0.4</v>
      </c>
      <c r="O17">
        <f t="shared" si="2"/>
        <v>-0.142857142857143</v>
      </c>
      <c r="P17">
        <f t="shared" si="2"/>
        <v>-0.157894736842105</v>
      </c>
      <c r="Q17">
        <f t="shared" si="2"/>
        <v>-0.0857142857142857</v>
      </c>
      <c r="R17">
        <f>(R13-R5)/R13</f>
        <v>0.0351679904153034</v>
      </c>
      <c r="S17">
        <f>(S13-S5)/S13</f>
        <v>0.168850072780203</v>
      </c>
      <c r="T17">
        <f t="shared" si="2"/>
        <v>-0.8</v>
      </c>
      <c r="U17">
        <f t="shared" si="2"/>
        <v>-0.166666666666667</v>
      </c>
      <c r="V17">
        <f t="shared" si="2"/>
        <v>-0.375</v>
      </c>
      <c r="W17">
        <f t="shared" si="2"/>
        <v>-0.333333333333333</v>
      </c>
      <c r="X17">
        <f>-(X5-X13)/X13</f>
        <v>0.0292028099405149</v>
      </c>
      <c r="Y17">
        <f>-(Y5-Y13)/Y13</f>
        <v>0.185500540718128</v>
      </c>
      <c r="Z17">
        <f t="shared" si="2"/>
        <v>-0.419354838709677</v>
      </c>
      <c r="AA17">
        <f t="shared" si="2"/>
        <v>0.0408163265306122</v>
      </c>
      <c r="AB17">
        <f t="shared" si="2"/>
        <v>-0.0298507462686567</v>
      </c>
      <c r="AC17">
        <f t="shared" si="2"/>
        <v>-0.099009900990099</v>
      </c>
      <c r="AD17">
        <f>-(AD5-AD13)/AD13</f>
        <v>-0.236901534152841</v>
      </c>
      <c r="AE17">
        <f>-(AE5-AE13)/AE13</f>
        <v>-0.232428006005188</v>
      </c>
    </row>
    <row r="18" spans="1:31">
      <c r="A18" s="16"/>
      <c r="B18">
        <f>(B6-B13)/B13</f>
        <v>-0.533333333333333</v>
      </c>
      <c r="C18">
        <f t="shared" ref="C18:AC18" si="3">(C6-C13)/C13</f>
        <v>-0.0714285714285714</v>
      </c>
      <c r="D18">
        <f t="shared" si="3"/>
        <v>-0.268292682926829</v>
      </c>
      <c r="E18">
        <f t="shared" si="3"/>
        <v>-0.0188679245283019</v>
      </c>
      <c r="F18">
        <f>(F13-F6)/F13</f>
        <v>-0.0348577622622263</v>
      </c>
      <c r="G18">
        <f>(G13-G6)/G13</f>
        <v>0.0358415426535314</v>
      </c>
      <c r="H18">
        <f t="shared" si="3"/>
        <v>-0.272727272727273</v>
      </c>
      <c r="I18">
        <f t="shared" si="3"/>
        <v>0</v>
      </c>
      <c r="J18">
        <f t="shared" si="3"/>
        <v>0.05</v>
      </c>
      <c r="K18">
        <f t="shared" si="3"/>
        <v>-0.103448275862069</v>
      </c>
      <c r="L18">
        <f>(L13-L6)/L13</f>
        <v>-0.156543726328873</v>
      </c>
      <c r="M18">
        <f>(M13-M6)/M13</f>
        <v>-0.113829998697675</v>
      </c>
      <c r="N18">
        <f t="shared" si="3"/>
        <v>-0.4</v>
      </c>
      <c r="O18">
        <f t="shared" si="3"/>
        <v>-0.142857142857143</v>
      </c>
      <c r="P18">
        <f t="shared" si="3"/>
        <v>-0.157894736842105</v>
      </c>
      <c r="Q18">
        <f t="shared" si="3"/>
        <v>-0.0571428571428571</v>
      </c>
      <c r="R18">
        <f>(R13-R6)/R13</f>
        <v>0.033277904586815</v>
      </c>
      <c r="S18">
        <f>(S13-S6)/S13</f>
        <v>0.163027656477439</v>
      </c>
      <c r="T18">
        <f t="shared" si="3"/>
        <v>-0.8</v>
      </c>
      <c r="U18">
        <f t="shared" si="3"/>
        <v>-0.333333333333333</v>
      </c>
      <c r="V18">
        <f t="shared" si="3"/>
        <v>-0.375</v>
      </c>
      <c r="W18">
        <f t="shared" si="3"/>
        <v>-0.266666666666667</v>
      </c>
      <c r="X18">
        <f>-(X6-X13)/X13</f>
        <v>0.055362897576012</v>
      </c>
      <c r="Y18">
        <f>-(Y6-Y13)/Y13</f>
        <v>0.185500540718128</v>
      </c>
      <c r="Z18">
        <f t="shared" si="3"/>
        <v>-0.451612903225806</v>
      </c>
      <c r="AA18">
        <f t="shared" si="3"/>
        <v>-0.0204081632653061</v>
      </c>
      <c r="AB18">
        <f t="shared" si="3"/>
        <v>-0.0447761194029851</v>
      </c>
      <c r="AC18">
        <f t="shared" si="3"/>
        <v>-0.108910891089109</v>
      </c>
      <c r="AD18">
        <f>-(AD6-AD13)/AD13</f>
        <v>-0.228934182127479</v>
      </c>
      <c r="AE18">
        <f>-(AE6-AE13)/AE13</f>
        <v>-0.218324916973749</v>
      </c>
    </row>
    <row r="19" spans="1:31">
      <c r="A19" s="16"/>
      <c r="B19">
        <f>(B7-B13)/B13</f>
        <v>-0.466666666666667</v>
      </c>
      <c r="C19">
        <f t="shared" ref="C19:AC19" si="4">(C7-C13)/C13</f>
        <v>-0.214285714285714</v>
      </c>
      <c r="D19">
        <f t="shared" si="4"/>
        <v>-0.195121951219512</v>
      </c>
      <c r="E19">
        <f t="shared" si="4"/>
        <v>-0.0566037735849057</v>
      </c>
      <c r="F19">
        <f>(F13-F7)/F13</f>
        <v>-0.0174852003426521</v>
      </c>
      <c r="G19">
        <f>(G13-G7)/G13</f>
        <v>0.0609935024103978</v>
      </c>
      <c r="H19">
        <f t="shared" si="4"/>
        <v>-0.363636363636364</v>
      </c>
      <c r="I19">
        <f t="shared" si="4"/>
        <v>0.0588235294117647</v>
      </c>
      <c r="J19">
        <f t="shared" si="4"/>
        <v>0</v>
      </c>
      <c r="K19">
        <f t="shared" si="4"/>
        <v>-0.103448275862069</v>
      </c>
      <c r="L19">
        <f>(L13-L7)/L13</f>
        <v>-0.210523437726957</v>
      </c>
      <c r="M19">
        <f>(M13-M7)/M13</f>
        <v>-0.156326897109525</v>
      </c>
      <c r="N19">
        <f t="shared" si="4"/>
        <v>-0.4</v>
      </c>
      <c r="O19">
        <f t="shared" si="4"/>
        <v>-0.142857142857143</v>
      </c>
      <c r="P19">
        <f t="shared" si="4"/>
        <v>-0.157894736842105</v>
      </c>
      <c r="Q19">
        <f t="shared" si="4"/>
        <v>-0.0857142857142857</v>
      </c>
      <c r="R19">
        <f>(R13-R7)/R13</f>
        <v>0.0290536144018355</v>
      </c>
      <c r="S19">
        <f>(S13-S7)/S13</f>
        <v>0.167394468704514</v>
      </c>
      <c r="T19">
        <f t="shared" si="4"/>
        <v>-0.8</v>
      </c>
      <c r="U19">
        <f t="shared" si="4"/>
        <v>-0.333333333333333</v>
      </c>
      <c r="V19">
        <f t="shared" si="4"/>
        <v>-0.375</v>
      </c>
      <c r="W19">
        <f t="shared" si="4"/>
        <v>-0.266666666666667</v>
      </c>
      <c r="X19">
        <f>-(X7-X13)/X13</f>
        <v>0.0480586126077931</v>
      </c>
      <c r="Y19">
        <f>-(Y7-Y13)/Y13</f>
        <v>0.184131634063873</v>
      </c>
      <c r="Z19">
        <f t="shared" si="4"/>
        <v>-0.451612903225806</v>
      </c>
      <c r="AA19">
        <f t="shared" si="4"/>
        <v>0.0408163265306122</v>
      </c>
      <c r="AB19">
        <f t="shared" si="4"/>
        <v>-0.0149253731343284</v>
      </c>
      <c r="AC19">
        <f t="shared" si="4"/>
        <v>-0.128712871287129</v>
      </c>
      <c r="AD19">
        <f>-(AD7-AD13)/AD13</f>
        <v>-0.257822248335561</v>
      </c>
      <c r="AE19">
        <f>-(AE7-AE13)/AE13</f>
        <v>-0.287020608707522</v>
      </c>
    </row>
    <row r="20" spans="1:31">
      <c r="A20" s="16"/>
      <c r="B20">
        <f>(B8-B13)/B13</f>
        <v>-0.333333333333333</v>
      </c>
      <c r="C20">
        <f t="shared" ref="C20:AC20" si="5">(C8-C13)/C13</f>
        <v>-0.214285714285714</v>
      </c>
      <c r="D20">
        <f t="shared" si="5"/>
        <v>-0.219512195121951</v>
      </c>
      <c r="E20">
        <f t="shared" si="5"/>
        <v>-0.0377358490566038</v>
      </c>
      <c r="F20">
        <f>(F13-F8)/F13</f>
        <v>-0.026292349016695</v>
      </c>
      <c r="G20">
        <f>(G13-G8)/G13</f>
        <v>0.0651854957032099</v>
      </c>
      <c r="H20">
        <f t="shared" si="5"/>
        <v>-0.363636363636364</v>
      </c>
      <c r="I20">
        <f t="shared" si="5"/>
        <v>-0.0588235294117647</v>
      </c>
      <c r="J20">
        <f t="shared" si="5"/>
        <v>0</v>
      </c>
      <c r="K20">
        <f t="shared" si="5"/>
        <v>-0.137931034482759</v>
      </c>
      <c r="L20">
        <f>(L13-L8)/L13</f>
        <v>-0.168679406710196</v>
      </c>
      <c r="M20">
        <f>(M13-M8)/M13</f>
        <v>-0.0973795864092174</v>
      </c>
      <c r="N20">
        <f t="shared" si="5"/>
        <v>-0.4</v>
      </c>
      <c r="O20">
        <f t="shared" si="5"/>
        <v>-0.142857142857143</v>
      </c>
      <c r="P20">
        <f t="shared" si="5"/>
        <v>-0.157894736842105</v>
      </c>
      <c r="Q20">
        <f t="shared" si="5"/>
        <v>-0.114285714285714</v>
      </c>
      <c r="R20">
        <f>(R13-R8)/R13</f>
        <v>0.0309850135817652</v>
      </c>
      <c r="S20">
        <f>(S13-S8)/S13</f>
        <v>0.164483260553128</v>
      </c>
      <c r="T20">
        <f t="shared" si="5"/>
        <v>-0.8</v>
      </c>
      <c r="U20">
        <f t="shared" si="5"/>
        <v>-0.333333333333333</v>
      </c>
      <c r="V20">
        <f t="shared" si="5"/>
        <v>-0.375</v>
      </c>
      <c r="W20">
        <f t="shared" si="5"/>
        <v>-0.4</v>
      </c>
      <c r="X20">
        <f>-(X8-X13)/X13</f>
        <v>0.0282315589692643</v>
      </c>
      <c r="Y20">
        <f>-(Y8-Y13)/Y13</f>
        <v>0.188922807353766</v>
      </c>
      <c r="Z20">
        <f t="shared" si="5"/>
        <v>-0.419354838709677</v>
      </c>
      <c r="AA20">
        <f t="shared" si="5"/>
        <v>0.0408163265306122</v>
      </c>
      <c r="AB20">
        <f t="shared" si="5"/>
        <v>0</v>
      </c>
      <c r="AC20">
        <f t="shared" si="5"/>
        <v>-0.0396039603960396</v>
      </c>
      <c r="AD20">
        <f>-(AD8-AD13)/AD13</f>
        <v>-0.226949370635269</v>
      </c>
      <c r="AE20">
        <f>-(AE8-AE13)/AE13</f>
        <v>-0.311587279923568</v>
      </c>
    </row>
    <row r="21" spans="1:31">
      <c r="A21" s="16"/>
      <c r="B21">
        <f>(B9-B13)/B13</f>
        <v>-0.333333333333333</v>
      </c>
      <c r="C21">
        <f t="shared" ref="C21:AC21" si="6">(C9-C13)/C13</f>
        <v>-0.142857142857143</v>
      </c>
      <c r="D21">
        <f t="shared" si="6"/>
        <v>-0.195121951219512</v>
      </c>
      <c r="E21">
        <f t="shared" si="6"/>
        <v>-0.0754716981132075</v>
      </c>
      <c r="F21">
        <f>(F13-F9)/F13</f>
        <v>-0.0460083128073682</v>
      </c>
      <c r="G21">
        <f>(G13-G9)/G13</f>
        <v>0.0285055543911117</v>
      </c>
      <c r="H21">
        <f t="shared" si="6"/>
        <v>-0.272727272727273</v>
      </c>
      <c r="I21">
        <f t="shared" si="6"/>
        <v>0</v>
      </c>
      <c r="J21">
        <f t="shared" si="6"/>
        <v>0.15</v>
      </c>
      <c r="K21">
        <f t="shared" si="6"/>
        <v>-0.0344827586206897</v>
      </c>
      <c r="L21">
        <f>(L13-L9)/L13</f>
        <v>-0.134063809584027</v>
      </c>
      <c r="M21">
        <f>(M13-M9)/M13</f>
        <v>-0.0905252479556932</v>
      </c>
      <c r="N21">
        <f t="shared" si="6"/>
        <v>-0.4</v>
      </c>
      <c r="O21">
        <f t="shared" si="6"/>
        <v>-0.142857142857143</v>
      </c>
      <c r="P21">
        <f t="shared" si="6"/>
        <v>-0.157894736842105</v>
      </c>
      <c r="Q21">
        <f t="shared" si="6"/>
        <v>-0.0571428571428571</v>
      </c>
      <c r="R21">
        <f>(R13-R9)/R13</f>
        <v>0.0358909740655444</v>
      </c>
      <c r="S21">
        <f>(S13-S9)/S13</f>
        <v>0.179039301310044</v>
      </c>
      <c r="T21">
        <f t="shared" si="6"/>
        <v>-0.8</v>
      </c>
      <c r="U21">
        <f t="shared" si="6"/>
        <v>-0.166666666666667</v>
      </c>
      <c r="V21">
        <f t="shared" si="6"/>
        <v>-0.375</v>
      </c>
      <c r="W21">
        <f t="shared" si="6"/>
        <v>-0.466666666666667</v>
      </c>
      <c r="X21">
        <f>-(X9-X13)/X13</f>
        <v>0.0209511572216488</v>
      </c>
      <c r="Y21">
        <f>-(Y9-Y13)/Y13</f>
        <v>0.19645179395217</v>
      </c>
      <c r="Z21">
        <f t="shared" si="6"/>
        <v>-0.419354838709677</v>
      </c>
      <c r="AA21">
        <f t="shared" si="6"/>
        <v>0.0408163265306122</v>
      </c>
      <c r="AB21">
        <f t="shared" si="6"/>
        <v>-0.0597014925373134</v>
      </c>
      <c r="AC21">
        <f t="shared" si="6"/>
        <v>-0.148514851485149</v>
      </c>
      <c r="AD21">
        <f>-(AD9-AD13)/AD13</f>
        <v>-0.258608522244854</v>
      </c>
      <c r="AE21">
        <f>-(AE9-AE13)/AE13</f>
        <v>-0.293389745689457</v>
      </c>
    </row>
    <row r="22" spans="1:31">
      <c r="A22" s="16"/>
      <c r="B22">
        <f>(B10-B13)/B13</f>
        <v>-0.4</v>
      </c>
      <c r="C22">
        <f t="shared" ref="C22:AC22" si="7">(C10-C13)/C13</f>
        <v>-0.142857142857143</v>
      </c>
      <c r="D22">
        <f t="shared" si="7"/>
        <v>-0.195121951219512</v>
      </c>
      <c r="E22">
        <f t="shared" si="7"/>
        <v>-0.0754716981132075</v>
      </c>
      <c r="F22">
        <f>(F13-F10)/F13</f>
        <v>-0.0522857189881671</v>
      </c>
      <c r="G22">
        <f>(G13-G10)/G13</f>
        <v>0.0211695661286922</v>
      </c>
      <c r="H22">
        <f t="shared" si="7"/>
        <v>-0.363636363636364</v>
      </c>
      <c r="I22">
        <f t="shared" si="7"/>
        <v>-0.0588235294117647</v>
      </c>
      <c r="J22">
        <f t="shared" si="7"/>
        <v>0</v>
      </c>
      <c r="K22">
        <f t="shared" si="7"/>
        <v>-0.137931034482759</v>
      </c>
      <c r="L22">
        <f>(L13-L10)/L13</f>
        <v>-0.15159375859765</v>
      </c>
      <c r="M22">
        <f>(M13-M10)/M13</f>
        <v>-0.091896115646399</v>
      </c>
      <c r="N22">
        <f t="shared" si="7"/>
        <v>-0.4</v>
      </c>
      <c r="O22">
        <f t="shared" si="7"/>
        <v>-0.142857142857143</v>
      </c>
      <c r="P22">
        <f t="shared" si="7"/>
        <v>-0.157894736842105</v>
      </c>
      <c r="Q22">
        <f t="shared" si="7"/>
        <v>-0.0571428571428571</v>
      </c>
      <c r="R22">
        <f>(R13-R10)/R13</f>
        <v>0.0363557492692709</v>
      </c>
      <c r="S22">
        <f>(S13-S10)/S13</f>
        <v>0.176128093158662</v>
      </c>
      <c r="T22">
        <f t="shared" si="7"/>
        <v>-0.8</v>
      </c>
      <c r="U22">
        <f t="shared" si="7"/>
        <v>-0.166666666666667</v>
      </c>
      <c r="V22">
        <f t="shared" si="7"/>
        <v>-0.375</v>
      </c>
      <c r="W22">
        <f t="shared" si="7"/>
        <v>-0.266666666666667</v>
      </c>
      <c r="X22">
        <f>-(X10-X13)/X13</f>
        <v>0.0146778312761916</v>
      </c>
      <c r="Y22">
        <f>-(Y10-Y13)/Y13</f>
        <v>0.175233740811214</v>
      </c>
      <c r="Z22">
        <f t="shared" si="7"/>
        <v>-0.387096774193548</v>
      </c>
      <c r="AA22">
        <f t="shared" si="7"/>
        <v>0.0408163265306122</v>
      </c>
      <c r="AB22">
        <f t="shared" si="7"/>
        <v>-0.0447761194029851</v>
      </c>
      <c r="AC22">
        <f t="shared" si="7"/>
        <v>-0.138613861386139</v>
      </c>
      <c r="AD22">
        <f>-(AD10-AD13)/AD13</f>
        <v>-0.239293078287237</v>
      </c>
      <c r="AE22">
        <f>-(AE10-AE13)/AE13</f>
        <v>-0.236977389563712</v>
      </c>
    </row>
    <row r="23" spans="1:31">
      <c r="A23" s="16"/>
      <c r="B23">
        <f>(B11-B13)/B13</f>
        <v>-0.4</v>
      </c>
      <c r="C23">
        <f t="shared" ref="C23:AC23" si="8">(C11-C13)/C13</f>
        <v>-0.142857142857143</v>
      </c>
      <c r="D23">
        <f t="shared" si="8"/>
        <v>-0.195121951219512</v>
      </c>
      <c r="E23">
        <f t="shared" si="8"/>
        <v>0</v>
      </c>
      <c r="F23">
        <f>(F13-F11)/F13</f>
        <v>-0.0273900280340794</v>
      </c>
      <c r="G23">
        <f>(G13-G11)/G13</f>
        <v>0.0955774470760818</v>
      </c>
      <c r="H23">
        <f t="shared" si="8"/>
        <v>-0.363636363636364</v>
      </c>
      <c r="I23">
        <f t="shared" si="8"/>
        <v>-0.0588235294117647</v>
      </c>
      <c r="J23">
        <f t="shared" si="8"/>
        <v>0</v>
      </c>
      <c r="K23">
        <f t="shared" si="8"/>
        <v>-0.0344827586206897</v>
      </c>
      <c r="L23">
        <f>(L13-L11)/L13</f>
        <v>-0.152308627355151</v>
      </c>
      <c r="M23">
        <f>(M13-M11)/M13</f>
        <v>-0.096008718718514</v>
      </c>
      <c r="N23">
        <f t="shared" si="8"/>
        <v>-0.4</v>
      </c>
      <c r="O23">
        <f t="shared" si="8"/>
        <v>-0.142857142857143</v>
      </c>
      <c r="P23">
        <f t="shared" si="8"/>
        <v>-0.157894736842105</v>
      </c>
      <c r="Q23">
        <f t="shared" si="8"/>
        <v>-0.0857142857142857</v>
      </c>
      <c r="R23">
        <f>(R13-R11)/R13</f>
        <v>0.0336393964119362</v>
      </c>
      <c r="S23">
        <f>(S13-S11)/S13</f>
        <v>0.173216885007277</v>
      </c>
      <c r="T23">
        <f t="shared" si="8"/>
        <v>-0.8</v>
      </c>
      <c r="U23">
        <f t="shared" si="8"/>
        <v>-0.166666666666667</v>
      </c>
      <c r="V23">
        <f t="shared" si="8"/>
        <v>-0.375</v>
      </c>
      <c r="W23">
        <f t="shared" si="8"/>
        <v>-0.466666666666667</v>
      </c>
      <c r="X23">
        <f>-(X11-X13)/X13</f>
        <v>0.0257636261734626</v>
      </c>
      <c r="Y23">
        <f>-(Y11-Y13)/Y13</f>
        <v>0.197820700606425</v>
      </c>
      <c r="Z23">
        <f t="shared" si="8"/>
        <v>-0.451612903225806</v>
      </c>
      <c r="AA23">
        <f t="shared" si="8"/>
        <v>0.0408163265306122</v>
      </c>
      <c r="AB23">
        <f t="shared" si="8"/>
        <v>-0.0447761194029851</v>
      </c>
      <c r="AC23">
        <f t="shared" si="8"/>
        <v>-0.099009900990099</v>
      </c>
      <c r="AD23">
        <f>-(AD11-AD13)/AD13</f>
        <v>-0.262888806260087</v>
      </c>
      <c r="AE23">
        <f>-(AE11-AE13)/AE13</f>
        <v>-0.275647149811202</v>
      </c>
    </row>
    <row r="24" spans="1:31">
      <c r="A24" s="16"/>
      <c r="B24">
        <f>(B12-B13)/B13</f>
        <v>-0.533333333333333</v>
      </c>
      <c r="C24">
        <f t="shared" ref="C24:AC24" si="9">(C12-C13)/C13</f>
        <v>-0.107142857142857</v>
      </c>
      <c r="D24">
        <f t="shared" si="9"/>
        <v>-0.195121951219512</v>
      </c>
      <c r="E24">
        <f t="shared" si="9"/>
        <v>-0.0566037735849057</v>
      </c>
      <c r="F24">
        <f>(F13-F12)/F13</f>
        <v>-0.00891513031916463</v>
      </c>
      <c r="G24">
        <f>(G13-G12)/G13</f>
        <v>0.0830014671976512</v>
      </c>
      <c r="H24">
        <f t="shared" si="9"/>
        <v>-0.272727272727273</v>
      </c>
      <c r="I24">
        <f t="shared" si="9"/>
        <v>0.0588235294117647</v>
      </c>
      <c r="J24">
        <f t="shared" si="9"/>
        <v>-0.05</v>
      </c>
      <c r="K24">
        <f t="shared" si="9"/>
        <v>-0.0689655172413793</v>
      </c>
      <c r="L24">
        <f>(L13-L12)/L13</f>
        <v>-0.0985026490017187</v>
      </c>
      <c r="M24">
        <f>(M13-M12)/M13</f>
        <v>-0.0528263864613096</v>
      </c>
      <c r="N24">
        <f t="shared" si="9"/>
        <v>-0.4</v>
      </c>
      <c r="O24">
        <f t="shared" si="9"/>
        <v>-0.142857142857143</v>
      </c>
      <c r="P24">
        <f t="shared" si="9"/>
        <v>-0.157894736842105</v>
      </c>
      <c r="Q24">
        <f t="shared" si="9"/>
        <v>-0.114285714285714</v>
      </c>
      <c r="R24">
        <f>(R13-R12)/R13</f>
        <v>0.0279174972371706</v>
      </c>
      <c r="S24">
        <f>(S13-S12)/S13</f>
        <v>0.15574963609898</v>
      </c>
      <c r="T24">
        <f t="shared" si="9"/>
        <v>-0.6</v>
      </c>
      <c r="U24">
        <f t="shared" si="9"/>
        <v>-0.166666666666667</v>
      </c>
      <c r="V24">
        <f t="shared" si="9"/>
        <v>-0.375</v>
      </c>
      <c r="W24">
        <f t="shared" si="9"/>
        <v>-0.466666666666667</v>
      </c>
      <c r="X24">
        <f>-(X12-X13)/X13</f>
        <v>0.095840975963927</v>
      </c>
      <c r="Y24">
        <f>-(Y12-Y13)/Y13</f>
        <v>0.251208060122381</v>
      </c>
      <c r="Z24">
        <f t="shared" si="9"/>
        <v>-0.451612903225806</v>
      </c>
      <c r="AA24">
        <f t="shared" si="9"/>
        <v>0</v>
      </c>
      <c r="AB24">
        <f t="shared" si="9"/>
        <v>-0.0298507462686567</v>
      </c>
      <c r="AC24">
        <f t="shared" si="9"/>
        <v>-0.099009900990099</v>
      </c>
      <c r="AD24">
        <f>-(AD12-AD13)/AD13</f>
        <v>-0.365391263721406</v>
      </c>
      <c r="AE24">
        <f>-(AE12-AE13)/AE13</f>
        <v>-0.501296574314181</v>
      </c>
    </row>
    <row r="32" spans="4:8">
      <c r="D32" t="s">
        <v>0</v>
      </c>
      <c r="E32" t="s">
        <v>1</v>
      </c>
      <c r="F32" t="s">
        <v>2</v>
      </c>
      <c r="G32" t="s">
        <v>19</v>
      </c>
      <c r="H32" t="s">
        <v>20</v>
      </c>
    </row>
    <row r="33" spans="1:6">
      <c r="A33" s="16" t="s">
        <v>3</v>
      </c>
      <c r="B33">
        <v>-0.6</v>
      </c>
      <c r="C33">
        <v>-0.272727272727273</v>
      </c>
      <c r="D33">
        <v>-0.4</v>
      </c>
      <c r="E33">
        <v>-0.8</v>
      </c>
      <c r="F33">
        <v>-0.419354838709677</v>
      </c>
    </row>
    <row r="34" spans="1:6">
      <c r="A34" s="16"/>
      <c r="B34">
        <v>-0.4</v>
      </c>
      <c r="C34">
        <v>-0.363636363636364</v>
      </c>
      <c r="D34">
        <v>-0.4</v>
      </c>
      <c r="E34">
        <v>-0.8</v>
      </c>
      <c r="F34">
        <v>-0.354838709677419</v>
      </c>
    </row>
    <row r="35" spans="1:6">
      <c r="A35" s="16"/>
      <c r="B35">
        <v>-0.333333333333333</v>
      </c>
      <c r="C35">
        <v>-0.272727272727273</v>
      </c>
      <c r="D35">
        <v>-0.4</v>
      </c>
      <c r="E35">
        <v>-0.8</v>
      </c>
      <c r="F35">
        <v>-0.419354838709677</v>
      </c>
    </row>
    <row r="36" spans="1:6">
      <c r="A36" s="16"/>
      <c r="B36">
        <v>-0.533333333333333</v>
      </c>
      <c r="C36">
        <v>-0.272727272727273</v>
      </c>
      <c r="D36">
        <v>-0.4</v>
      </c>
      <c r="E36">
        <v>-0.8</v>
      </c>
      <c r="F36">
        <v>-0.451612903225806</v>
      </c>
    </row>
    <row r="37" spans="1:6">
      <c r="A37" s="16"/>
      <c r="B37">
        <v>-0.466666666666667</v>
      </c>
      <c r="C37">
        <v>-0.363636363636364</v>
      </c>
      <c r="D37">
        <v>-0.4</v>
      </c>
      <c r="E37">
        <v>-0.8</v>
      </c>
      <c r="F37">
        <v>-0.451612903225806</v>
      </c>
    </row>
    <row r="38" spans="1:6">
      <c r="A38" s="16"/>
      <c r="B38">
        <v>-0.333333333333333</v>
      </c>
      <c r="C38">
        <v>-0.363636363636364</v>
      </c>
      <c r="D38">
        <v>-0.4</v>
      </c>
      <c r="E38">
        <v>-0.8</v>
      </c>
      <c r="F38">
        <v>-0.419354838709677</v>
      </c>
    </row>
    <row r="39" spans="1:6">
      <c r="A39" s="16"/>
      <c r="B39">
        <v>-0.333333333333333</v>
      </c>
      <c r="C39">
        <v>-0.272727272727273</v>
      </c>
      <c r="D39">
        <v>-0.4</v>
      </c>
      <c r="E39">
        <v>-0.8</v>
      </c>
      <c r="F39">
        <v>-0.419354838709677</v>
      </c>
    </row>
    <row r="40" spans="1:6">
      <c r="A40" s="16"/>
      <c r="B40">
        <v>-0.4</v>
      </c>
      <c r="C40">
        <v>-0.363636363636364</v>
      </c>
      <c r="D40">
        <v>-0.4</v>
      </c>
      <c r="E40">
        <v>-0.8</v>
      </c>
      <c r="F40">
        <v>-0.387096774193548</v>
      </c>
    </row>
    <row r="41" spans="1:6">
      <c r="A41" s="16"/>
      <c r="B41">
        <v>-0.4</v>
      </c>
      <c r="C41">
        <v>-0.363636363636364</v>
      </c>
      <c r="D41">
        <v>-0.4</v>
      </c>
      <c r="E41">
        <v>-0.8</v>
      </c>
      <c r="F41">
        <v>-0.451612903225806</v>
      </c>
    </row>
    <row r="42" spans="1:6">
      <c r="A42" s="16"/>
      <c r="B42">
        <v>-0.533333333333333</v>
      </c>
      <c r="C42">
        <v>-0.272727272727273</v>
      </c>
      <c r="D42">
        <v>-0.4</v>
      </c>
      <c r="E42">
        <v>-0.6</v>
      </c>
      <c r="F42">
        <v>-0.451612903225806</v>
      </c>
    </row>
    <row r="46" spans="3:3">
      <c r="C46" s="16"/>
    </row>
    <row r="47" spans="3:3">
      <c r="C47" s="16"/>
    </row>
    <row r="48" spans="3:3">
      <c r="C48" s="16"/>
    </row>
    <row r="49" spans="3:3">
      <c r="C49" s="16"/>
    </row>
    <row r="50" spans="3:3">
      <c r="C50" s="16"/>
    </row>
    <row r="51" spans="3:3">
      <c r="C51" s="16"/>
    </row>
    <row r="52" spans="3:3">
      <c r="C52" s="16"/>
    </row>
    <row r="53" spans="3:3">
      <c r="C53" s="16"/>
    </row>
    <row r="54" spans="3:3">
      <c r="C54" s="16"/>
    </row>
    <row r="55" spans="3:3">
      <c r="C55" s="16"/>
    </row>
    <row r="63" spans="3:3">
      <c r="C63" s="16"/>
    </row>
    <row r="64" spans="3:3">
      <c r="C64" s="16"/>
    </row>
    <row r="65" spans="3:3">
      <c r="C65" s="16"/>
    </row>
    <row r="66" spans="3:3">
      <c r="C66" s="16"/>
    </row>
    <row r="67" spans="3:3">
      <c r="C67" s="16"/>
    </row>
    <row r="68" spans="3:3">
      <c r="C68" s="16"/>
    </row>
    <row r="69" spans="3:3">
      <c r="C69" s="16"/>
    </row>
    <row r="70" spans="3:3">
      <c r="C70" s="16"/>
    </row>
    <row r="71" spans="3:3">
      <c r="C71" s="16"/>
    </row>
    <row r="72" spans="3:3">
      <c r="C72" s="16"/>
    </row>
  </sheetData>
  <mergeCells count="9">
    <mergeCell ref="B1:F1"/>
    <mergeCell ref="H1:M1"/>
    <mergeCell ref="N1:S1"/>
    <mergeCell ref="T1:Y1"/>
    <mergeCell ref="Z1:AE1"/>
    <mergeCell ref="A15:A24"/>
    <mergeCell ref="A33:A42"/>
    <mergeCell ref="C46:C55"/>
    <mergeCell ref="C63:C7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36"/>
  <sheetViews>
    <sheetView tabSelected="1" topLeftCell="A4" workbookViewId="0">
      <selection activeCell="L58" sqref="L58"/>
    </sheetView>
  </sheetViews>
  <sheetFormatPr defaultColWidth="9" defaultRowHeight="14"/>
  <cols>
    <col min="1" max="1" width="26.5" customWidth="1"/>
    <col min="2" max="21" width="13.8333333333333"/>
    <col min="23" max="28" width="13.8333333333333"/>
    <col min="29" max="29" width="12.6666666666667"/>
    <col min="30" max="31" width="13.8333333333333"/>
  </cols>
  <sheetData>
    <row r="1" spans="1:31">
      <c r="A1" s="2"/>
      <c r="B1" s="3" t="s">
        <v>1</v>
      </c>
      <c r="C1" s="3"/>
      <c r="D1" s="3"/>
      <c r="E1" s="3"/>
      <c r="F1" s="3"/>
      <c r="G1" s="4"/>
      <c r="H1" s="5" t="s">
        <v>1</v>
      </c>
      <c r="I1" s="5"/>
      <c r="J1" s="5"/>
      <c r="K1" s="5"/>
      <c r="L1" s="5"/>
      <c r="M1" s="5"/>
      <c r="N1" s="18" t="s">
        <v>2</v>
      </c>
      <c r="O1" s="18"/>
      <c r="P1" s="18"/>
      <c r="Q1" s="18"/>
      <c r="R1" s="18"/>
      <c r="S1" s="18"/>
      <c r="T1" s="22" t="s">
        <v>19</v>
      </c>
      <c r="U1" s="22"/>
      <c r="V1" s="22"/>
      <c r="W1" s="22"/>
      <c r="X1" s="22"/>
      <c r="Y1" s="22"/>
      <c r="Z1" s="33" t="s">
        <v>20</v>
      </c>
      <c r="AA1" s="33"/>
      <c r="AB1" s="33"/>
      <c r="AC1" s="33"/>
      <c r="AD1" s="33"/>
      <c r="AE1" s="33"/>
    </row>
    <row r="2" spans="1:31">
      <c r="A2" s="2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3</v>
      </c>
      <c r="I2" s="7" t="s">
        <v>4</v>
      </c>
      <c r="J2" s="7" t="s">
        <v>5</v>
      </c>
      <c r="K2" s="7" t="s">
        <v>6</v>
      </c>
      <c r="L2" s="7" t="s">
        <v>7</v>
      </c>
      <c r="M2" s="7" t="s">
        <v>8</v>
      </c>
      <c r="N2" s="19" t="s">
        <v>3</v>
      </c>
      <c r="O2" s="19" t="s">
        <v>4</v>
      </c>
      <c r="P2" s="19" t="s">
        <v>5</v>
      </c>
      <c r="Q2" s="19" t="s">
        <v>6</v>
      </c>
      <c r="R2" s="19" t="s">
        <v>7</v>
      </c>
      <c r="S2" s="19" t="s">
        <v>8</v>
      </c>
      <c r="T2" s="23" t="s">
        <v>3</v>
      </c>
      <c r="U2" s="23" t="s">
        <v>4</v>
      </c>
      <c r="V2" s="23" t="s">
        <v>5</v>
      </c>
      <c r="W2" s="23" t="s">
        <v>6</v>
      </c>
      <c r="X2" s="23" t="s">
        <v>7</v>
      </c>
      <c r="Y2" s="23" t="s">
        <v>8</v>
      </c>
      <c r="Z2" s="34"/>
      <c r="AA2" s="34"/>
      <c r="AB2" s="34"/>
      <c r="AC2" s="34"/>
      <c r="AD2" s="34"/>
      <c r="AE2" s="34"/>
    </row>
    <row r="3" spans="1:31">
      <c r="A3" s="36" t="s">
        <v>32</v>
      </c>
      <c r="B3" s="9">
        <v>13</v>
      </c>
      <c r="C3" s="9">
        <v>29</v>
      </c>
      <c r="D3" s="9">
        <v>39</v>
      </c>
      <c r="E3" s="9">
        <v>54</v>
      </c>
      <c r="F3" s="9">
        <v>23.8174825174825</v>
      </c>
      <c r="G3" s="9">
        <v>17.1153846153846</v>
      </c>
      <c r="H3" s="29">
        <v>6</v>
      </c>
      <c r="I3" s="29">
        <v>16</v>
      </c>
      <c r="J3" s="29">
        <v>21</v>
      </c>
      <c r="K3" s="29">
        <v>26</v>
      </c>
      <c r="L3" s="29">
        <v>58.836531986532</v>
      </c>
      <c r="M3" s="29">
        <v>43.9393939393939</v>
      </c>
      <c r="N3" s="20">
        <v>3</v>
      </c>
      <c r="O3" s="20">
        <v>13</v>
      </c>
      <c r="P3" s="20">
        <v>19</v>
      </c>
      <c r="Q3" s="20">
        <v>35</v>
      </c>
      <c r="R3" s="20">
        <v>66.8215277777778</v>
      </c>
      <c r="S3" s="20">
        <v>29.0416666666667</v>
      </c>
      <c r="T3" s="32">
        <v>5</v>
      </c>
      <c r="U3" s="32">
        <v>5</v>
      </c>
      <c r="V3" s="32">
        <v>8</v>
      </c>
      <c r="W3" s="32">
        <v>14</v>
      </c>
      <c r="X3" s="32">
        <v>98.1587121212121</v>
      </c>
      <c r="Y3" s="32">
        <v>66.0454545454545</v>
      </c>
      <c r="Z3" s="39">
        <v>27</v>
      </c>
      <c r="AA3" s="39">
        <v>54</v>
      </c>
      <c r="AB3" s="39">
        <v>70</v>
      </c>
      <c r="AC3" s="39">
        <v>97</v>
      </c>
      <c r="AD3" s="39">
        <v>44.0141219619161</v>
      </c>
      <c r="AE3" s="39">
        <v>23</v>
      </c>
    </row>
    <row r="4" spans="1:31">
      <c r="A4" s="36" t="s">
        <v>33</v>
      </c>
      <c r="B4" s="9">
        <v>10</v>
      </c>
      <c r="C4" s="9">
        <v>30</v>
      </c>
      <c r="D4" s="9">
        <v>39</v>
      </c>
      <c r="E4" s="9">
        <v>54</v>
      </c>
      <c r="F4" s="9">
        <v>24.7289421362951</v>
      </c>
      <c r="G4" s="9">
        <v>17.6346153846154</v>
      </c>
      <c r="H4" s="29">
        <v>8</v>
      </c>
      <c r="I4" s="29">
        <v>18</v>
      </c>
      <c r="J4" s="29">
        <v>24</v>
      </c>
      <c r="K4" s="29">
        <v>31</v>
      </c>
      <c r="L4" s="29">
        <v>59.4284511784512</v>
      </c>
      <c r="M4" s="29">
        <v>45</v>
      </c>
      <c r="N4" s="20">
        <v>5</v>
      </c>
      <c r="O4" s="20">
        <v>14</v>
      </c>
      <c r="P4" s="20">
        <v>19</v>
      </c>
      <c r="Q4" s="20">
        <v>34</v>
      </c>
      <c r="R4" s="20">
        <v>66.9527777777778</v>
      </c>
      <c r="S4" s="20">
        <v>29.5</v>
      </c>
      <c r="T4" s="32">
        <v>3</v>
      </c>
      <c r="U4" s="32">
        <v>5</v>
      </c>
      <c r="V4" s="32">
        <v>7</v>
      </c>
      <c r="W4" s="32">
        <v>12</v>
      </c>
      <c r="X4" s="32">
        <v>93.7973484848485</v>
      </c>
      <c r="Y4" s="32">
        <v>64.4545454545455</v>
      </c>
      <c r="Z4" s="39">
        <v>22</v>
      </c>
      <c r="AA4" s="39">
        <v>51</v>
      </c>
      <c r="AB4" s="39">
        <v>70</v>
      </c>
      <c r="AC4" s="39">
        <v>100</v>
      </c>
      <c r="AD4" s="39">
        <v>40.1676665110489</v>
      </c>
      <c r="AE4" s="39">
        <v>21.0882352941176</v>
      </c>
    </row>
    <row r="5" spans="1:31">
      <c r="A5" s="36" t="s">
        <v>34</v>
      </c>
      <c r="B5" s="9">
        <v>11</v>
      </c>
      <c r="C5" s="9">
        <v>29</v>
      </c>
      <c r="D5" s="9">
        <v>39</v>
      </c>
      <c r="E5" s="9">
        <v>53</v>
      </c>
      <c r="F5" s="9">
        <v>23.9478695324284</v>
      </c>
      <c r="G5" s="9">
        <v>17.7307692307692</v>
      </c>
      <c r="H5" s="29">
        <v>8</v>
      </c>
      <c r="I5" s="29">
        <v>15</v>
      </c>
      <c r="J5" s="29">
        <v>22</v>
      </c>
      <c r="K5" s="29">
        <v>29</v>
      </c>
      <c r="L5" s="29">
        <v>57.4427609427609</v>
      </c>
      <c r="M5" s="29">
        <v>45</v>
      </c>
      <c r="N5" s="20">
        <v>3</v>
      </c>
      <c r="O5" s="20">
        <v>13</v>
      </c>
      <c r="P5" s="20">
        <v>18</v>
      </c>
      <c r="Q5" s="20">
        <v>35</v>
      </c>
      <c r="R5" s="20">
        <v>65.9368055555556</v>
      </c>
      <c r="S5" s="20">
        <v>29.5</v>
      </c>
      <c r="T5" s="32">
        <v>4</v>
      </c>
      <c r="U5" s="32">
        <v>6</v>
      </c>
      <c r="V5" s="32">
        <v>8</v>
      </c>
      <c r="W5" s="32">
        <v>11</v>
      </c>
      <c r="X5" s="32">
        <v>99.8356060606061</v>
      </c>
      <c r="Y5" s="32">
        <v>67.9545454545455</v>
      </c>
      <c r="Z5" s="39">
        <v>29</v>
      </c>
      <c r="AA5" s="39">
        <v>50</v>
      </c>
      <c r="AB5" s="39">
        <v>67</v>
      </c>
      <c r="AC5" s="39">
        <v>100</v>
      </c>
      <c r="AD5" s="39">
        <v>38.0205091885239</v>
      </c>
      <c r="AE5" s="39">
        <v>20.5196078431373</v>
      </c>
    </row>
    <row r="6" spans="1:31">
      <c r="A6" s="36" t="s">
        <v>35</v>
      </c>
      <c r="B6" s="9">
        <v>10</v>
      </c>
      <c r="C6" s="9">
        <v>29</v>
      </c>
      <c r="D6" s="9">
        <v>41</v>
      </c>
      <c r="E6" s="9">
        <v>58</v>
      </c>
      <c r="F6" s="9">
        <v>21.5252176744824</v>
      </c>
      <c r="G6" s="9">
        <v>15.5961538461539</v>
      </c>
      <c r="H6" s="29">
        <v>9</v>
      </c>
      <c r="I6" s="29">
        <v>16</v>
      </c>
      <c r="J6" s="29">
        <v>22</v>
      </c>
      <c r="K6" s="29">
        <v>32</v>
      </c>
      <c r="L6" s="29">
        <v>57.776936026936</v>
      </c>
      <c r="M6" s="29">
        <v>44.1515151515151</v>
      </c>
      <c r="N6" s="20">
        <v>5</v>
      </c>
      <c r="O6" s="20">
        <v>13</v>
      </c>
      <c r="P6" s="20">
        <v>17</v>
      </c>
      <c r="Q6" s="20">
        <v>32</v>
      </c>
      <c r="R6" s="20">
        <v>65.4638888888889</v>
      </c>
      <c r="S6" s="20">
        <v>30.125</v>
      </c>
      <c r="T6" s="32">
        <v>5</v>
      </c>
      <c r="U6" s="32">
        <v>6</v>
      </c>
      <c r="V6" s="32">
        <v>8</v>
      </c>
      <c r="W6" s="32">
        <v>13</v>
      </c>
      <c r="X6" s="32">
        <v>102.06553030303</v>
      </c>
      <c r="Y6" s="32">
        <v>71.5</v>
      </c>
      <c r="Z6" s="39">
        <v>26</v>
      </c>
      <c r="AA6" s="39">
        <v>51</v>
      </c>
      <c r="AB6" s="39">
        <v>66</v>
      </c>
      <c r="AC6" s="39">
        <v>103</v>
      </c>
      <c r="AD6" s="39">
        <v>40.0540297937357</v>
      </c>
      <c r="AE6" s="39">
        <v>21.4607843137255</v>
      </c>
    </row>
    <row r="7" spans="1:31">
      <c r="A7" s="36" t="s">
        <v>36</v>
      </c>
      <c r="B7" s="9">
        <v>11</v>
      </c>
      <c r="C7" s="9">
        <v>27</v>
      </c>
      <c r="D7" s="9">
        <v>38</v>
      </c>
      <c r="E7" s="9">
        <v>54</v>
      </c>
      <c r="F7" s="9">
        <v>23.1202591526121</v>
      </c>
      <c r="G7" s="9">
        <v>17.1153846153846</v>
      </c>
      <c r="H7" s="29">
        <v>6</v>
      </c>
      <c r="I7" s="29">
        <v>14</v>
      </c>
      <c r="J7" s="29">
        <v>19</v>
      </c>
      <c r="K7" s="29">
        <v>29</v>
      </c>
      <c r="L7" s="29">
        <v>60.0414141414141</v>
      </c>
      <c r="M7" s="29">
        <v>46.6666666666667</v>
      </c>
      <c r="N7" s="20">
        <v>4</v>
      </c>
      <c r="O7" s="20">
        <v>13</v>
      </c>
      <c r="P7" s="20">
        <v>19</v>
      </c>
      <c r="Q7" s="20">
        <v>34</v>
      </c>
      <c r="R7" s="20">
        <v>67.0652777777778</v>
      </c>
      <c r="S7" s="20">
        <v>29.1666666666667</v>
      </c>
      <c r="T7" s="32">
        <v>4</v>
      </c>
      <c r="U7" s="32">
        <v>6</v>
      </c>
      <c r="V7" s="32">
        <v>7</v>
      </c>
      <c r="W7" s="32">
        <v>15</v>
      </c>
      <c r="X7" s="32">
        <v>96.2628787878788</v>
      </c>
      <c r="Y7" s="32">
        <v>66.9090909090909</v>
      </c>
      <c r="Z7" s="39">
        <v>25</v>
      </c>
      <c r="AA7" s="39">
        <v>53</v>
      </c>
      <c r="AB7" s="39">
        <v>70</v>
      </c>
      <c r="AC7" s="39">
        <v>103</v>
      </c>
      <c r="AD7" s="39">
        <v>43.188765809354</v>
      </c>
      <c r="AE7" s="39">
        <v>21.4607843137255</v>
      </c>
    </row>
    <row r="8" spans="1:31">
      <c r="A8" s="36" t="s">
        <v>37</v>
      </c>
      <c r="B8" s="9">
        <v>10</v>
      </c>
      <c r="C8" s="9">
        <v>27</v>
      </c>
      <c r="D8" s="9">
        <v>39</v>
      </c>
      <c r="E8" s="9">
        <v>57</v>
      </c>
      <c r="F8" s="9">
        <v>23.5789147127382</v>
      </c>
      <c r="G8" s="9">
        <v>16.7884615384615</v>
      </c>
      <c r="H8" s="29">
        <v>7</v>
      </c>
      <c r="I8" s="29">
        <v>17</v>
      </c>
      <c r="J8" s="29">
        <v>22</v>
      </c>
      <c r="K8" s="29">
        <v>27</v>
      </c>
      <c r="L8" s="29">
        <v>55.046127946128</v>
      </c>
      <c r="M8" s="29">
        <v>40.7575757575758</v>
      </c>
      <c r="N8" s="20">
        <v>4</v>
      </c>
      <c r="O8" s="20">
        <v>13</v>
      </c>
      <c r="P8" s="20">
        <v>19</v>
      </c>
      <c r="Q8" s="20">
        <v>34</v>
      </c>
      <c r="R8" s="20">
        <v>67.0625</v>
      </c>
      <c r="S8" s="20">
        <v>29.1666666666667</v>
      </c>
      <c r="T8" s="32">
        <v>4</v>
      </c>
      <c r="U8" s="32">
        <v>6</v>
      </c>
      <c r="V8" s="32">
        <v>7</v>
      </c>
      <c r="W8" s="32">
        <v>12</v>
      </c>
      <c r="X8" s="32">
        <v>100.005681818182</v>
      </c>
      <c r="Y8" s="32">
        <v>70.4545454545455</v>
      </c>
      <c r="Z8" s="39">
        <v>25</v>
      </c>
      <c r="AA8" s="39">
        <v>55</v>
      </c>
      <c r="AB8" s="39">
        <v>69</v>
      </c>
      <c r="AC8" s="39">
        <v>97</v>
      </c>
      <c r="AD8" s="39">
        <v>40.3083457120222</v>
      </c>
      <c r="AE8" s="39">
        <v>21.7745098039216</v>
      </c>
    </row>
    <row r="9" spans="1:31">
      <c r="A9" s="36" t="s">
        <v>38</v>
      </c>
      <c r="B9" s="9">
        <v>11</v>
      </c>
      <c r="C9" s="9">
        <v>28</v>
      </c>
      <c r="D9" s="9">
        <v>38</v>
      </c>
      <c r="E9" s="9">
        <v>54</v>
      </c>
      <c r="F9" s="9">
        <v>23.9095691073632</v>
      </c>
      <c r="G9" s="9">
        <v>17.9038461538461</v>
      </c>
      <c r="H9" s="29">
        <v>7</v>
      </c>
      <c r="I9" s="29">
        <v>18</v>
      </c>
      <c r="J9" s="29">
        <v>22</v>
      </c>
      <c r="K9" s="29">
        <v>27</v>
      </c>
      <c r="L9" s="29">
        <v>59.4624579124579</v>
      </c>
      <c r="M9" s="29">
        <v>44</v>
      </c>
      <c r="N9" s="20">
        <v>4</v>
      </c>
      <c r="O9" s="20">
        <v>14</v>
      </c>
      <c r="P9" s="20">
        <v>19</v>
      </c>
      <c r="Q9" s="20">
        <v>34</v>
      </c>
      <c r="R9" s="20">
        <v>67.2569444444444</v>
      </c>
      <c r="S9" s="20">
        <v>28.8333333333333</v>
      </c>
      <c r="T9" s="32">
        <v>5</v>
      </c>
      <c r="U9" s="32">
        <v>5</v>
      </c>
      <c r="V9" s="32">
        <v>9</v>
      </c>
      <c r="W9" s="32">
        <v>11</v>
      </c>
      <c r="X9" s="32">
        <v>96.3295454545455</v>
      </c>
      <c r="Y9" s="32">
        <v>67.8636363636364</v>
      </c>
      <c r="Z9" s="39">
        <v>23</v>
      </c>
      <c r="AA9" s="39">
        <v>48</v>
      </c>
      <c r="AB9" s="39">
        <v>68</v>
      </c>
      <c r="AC9" s="39">
        <v>101</v>
      </c>
      <c r="AD9" s="39">
        <v>42.4770737840591</v>
      </c>
      <c r="AE9" s="39">
        <v>22.078431372549</v>
      </c>
    </row>
    <row r="10" spans="1:31">
      <c r="A10" s="36" t="s">
        <v>39</v>
      </c>
      <c r="B10" s="9">
        <v>12</v>
      </c>
      <c r="C10" s="9">
        <v>28</v>
      </c>
      <c r="D10" s="9">
        <v>39</v>
      </c>
      <c r="E10" s="9">
        <v>56</v>
      </c>
      <c r="F10" s="9">
        <v>23.2871297819827</v>
      </c>
      <c r="G10" s="9">
        <v>16.8846153846154</v>
      </c>
      <c r="H10" s="29">
        <v>10</v>
      </c>
      <c r="I10" s="29">
        <v>15</v>
      </c>
      <c r="J10" s="29">
        <v>21</v>
      </c>
      <c r="K10" s="29">
        <v>27</v>
      </c>
      <c r="L10" s="29">
        <v>55.0867003367004</v>
      </c>
      <c r="M10" s="29">
        <v>42.7272727272727</v>
      </c>
      <c r="N10" s="20">
        <v>3</v>
      </c>
      <c r="O10" s="20">
        <v>13</v>
      </c>
      <c r="P10" s="20">
        <v>16</v>
      </c>
      <c r="Q10" s="20">
        <v>34</v>
      </c>
      <c r="R10" s="20">
        <v>66.2972222222222</v>
      </c>
      <c r="S10" s="20">
        <v>29.5416666666667</v>
      </c>
      <c r="T10" s="32">
        <v>4</v>
      </c>
      <c r="U10" s="32">
        <v>4</v>
      </c>
      <c r="V10" s="32">
        <v>6</v>
      </c>
      <c r="W10" s="32">
        <v>12</v>
      </c>
      <c r="X10" s="32">
        <v>104.946212121212</v>
      </c>
      <c r="Y10" s="32">
        <v>74.8181818181818</v>
      </c>
      <c r="Z10" s="39">
        <v>25</v>
      </c>
      <c r="AA10" s="39">
        <v>52</v>
      </c>
      <c r="AB10" s="39">
        <v>66</v>
      </c>
      <c r="AC10" s="39">
        <v>103</v>
      </c>
      <c r="AD10" s="39">
        <v>38.4155628412981</v>
      </c>
      <c r="AE10" s="39">
        <v>19.7647058823529</v>
      </c>
    </row>
    <row r="11" spans="1:31">
      <c r="A11" s="36" t="s">
        <v>40</v>
      </c>
      <c r="B11" s="9">
        <v>13</v>
      </c>
      <c r="C11" s="9">
        <v>27</v>
      </c>
      <c r="D11" s="9">
        <v>42</v>
      </c>
      <c r="E11" s="9">
        <v>55</v>
      </c>
      <c r="F11" s="9">
        <v>23.3511415055533</v>
      </c>
      <c r="G11" s="9">
        <v>16.6730769230769</v>
      </c>
      <c r="H11" s="29">
        <v>11</v>
      </c>
      <c r="I11" s="29">
        <v>14</v>
      </c>
      <c r="J11" s="29">
        <v>19</v>
      </c>
      <c r="K11" s="29">
        <v>27</v>
      </c>
      <c r="L11" s="29">
        <v>58.2611111111111</v>
      </c>
      <c r="M11" s="29">
        <v>43.6666666666667</v>
      </c>
      <c r="N11" s="20">
        <v>3</v>
      </c>
      <c r="O11" s="20">
        <v>13</v>
      </c>
      <c r="P11" s="20">
        <v>17</v>
      </c>
      <c r="Q11" s="20">
        <v>35</v>
      </c>
      <c r="R11" s="20">
        <v>67.1861111111111</v>
      </c>
      <c r="S11" s="20">
        <v>28.9166666666667</v>
      </c>
      <c r="T11" s="32">
        <v>4</v>
      </c>
      <c r="U11" s="32">
        <v>6</v>
      </c>
      <c r="V11" s="32">
        <v>7</v>
      </c>
      <c r="W11" s="32">
        <v>11</v>
      </c>
      <c r="X11" s="32">
        <v>94.9079545454545</v>
      </c>
      <c r="Y11" s="32">
        <v>62.6818181818182</v>
      </c>
      <c r="Z11" s="39">
        <v>23</v>
      </c>
      <c r="AA11" s="39">
        <v>49</v>
      </c>
      <c r="AB11" s="39">
        <v>67</v>
      </c>
      <c r="AC11" s="39">
        <v>103</v>
      </c>
      <c r="AD11" s="39">
        <v>44.1887468876439</v>
      </c>
      <c r="AE11" s="39">
        <v>22.7647058823529</v>
      </c>
    </row>
    <row r="12" spans="1:31">
      <c r="A12" s="36" t="s">
        <v>41</v>
      </c>
      <c r="B12" s="9">
        <v>13</v>
      </c>
      <c r="C12" s="9">
        <v>27</v>
      </c>
      <c r="D12" s="9">
        <v>39</v>
      </c>
      <c r="E12" s="9">
        <v>52</v>
      </c>
      <c r="F12" s="9">
        <v>25.3474393253805</v>
      </c>
      <c r="G12" s="9">
        <v>19.2884615384615</v>
      </c>
      <c r="H12" s="29">
        <v>9</v>
      </c>
      <c r="I12" s="29">
        <v>16</v>
      </c>
      <c r="J12" s="29">
        <v>22</v>
      </c>
      <c r="K12" s="29">
        <v>28</v>
      </c>
      <c r="L12" s="29">
        <v>59.2259259259259</v>
      </c>
      <c r="M12" s="29">
        <v>45.4242424242424</v>
      </c>
      <c r="N12" s="20">
        <v>5</v>
      </c>
      <c r="O12" s="20">
        <v>14</v>
      </c>
      <c r="P12" s="20">
        <v>17</v>
      </c>
      <c r="Q12" s="20">
        <v>33</v>
      </c>
      <c r="R12" s="20">
        <v>64.6805555555556</v>
      </c>
      <c r="S12" s="20">
        <v>27.125</v>
      </c>
      <c r="T12" s="32">
        <v>5</v>
      </c>
      <c r="U12" s="32">
        <v>6</v>
      </c>
      <c r="V12" s="32">
        <v>7</v>
      </c>
      <c r="W12" s="32">
        <v>14</v>
      </c>
      <c r="X12" s="32">
        <v>111.479166666667</v>
      </c>
      <c r="Y12" s="32">
        <v>79.6818181818182</v>
      </c>
      <c r="Z12" s="39">
        <v>25</v>
      </c>
      <c r="AA12" s="39">
        <v>51</v>
      </c>
      <c r="AB12" s="39">
        <v>63</v>
      </c>
      <c r="AC12" s="39">
        <v>102</v>
      </c>
      <c r="AD12" s="39">
        <v>39.9234735308265</v>
      </c>
      <c r="AE12" s="39">
        <v>20.5882352941176</v>
      </c>
    </row>
    <row r="13" spans="1:31">
      <c r="A13" s="36" t="s">
        <v>42</v>
      </c>
      <c r="B13" s="9">
        <v>11</v>
      </c>
      <c r="C13" s="9">
        <v>25</v>
      </c>
      <c r="D13" s="9">
        <v>38</v>
      </c>
      <c r="E13" s="9">
        <v>54</v>
      </c>
      <c r="F13" s="9">
        <v>23.7832887700535</v>
      </c>
      <c r="G13" s="9">
        <v>17.2884615384615</v>
      </c>
      <c r="H13" s="29">
        <v>7</v>
      </c>
      <c r="I13" s="29">
        <v>16</v>
      </c>
      <c r="J13" s="29">
        <v>22</v>
      </c>
      <c r="K13" s="29">
        <v>28</v>
      </c>
      <c r="L13" s="29">
        <v>62.5262626262626</v>
      </c>
      <c r="M13" s="29">
        <v>50.969696969697</v>
      </c>
      <c r="N13" s="20">
        <v>4</v>
      </c>
      <c r="O13" s="20">
        <v>13</v>
      </c>
      <c r="P13" s="20">
        <v>19</v>
      </c>
      <c r="Q13" s="20">
        <v>34</v>
      </c>
      <c r="R13" s="20">
        <v>67.0694444444444</v>
      </c>
      <c r="S13" s="20">
        <v>29.1666666666667</v>
      </c>
      <c r="T13" s="32">
        <v>4</v>
      </c>
      <c r="U13" s="32">
        <v>7</v>
      </c>
      <c r="V13" s="32">
        <v>9</v>
      </c>
      <c r="W13" s="32">
        <v>10</v>
      </c>
      <c r="X13" s="32">
        <v>99.85</v>
      </c>
      <c r="Y13" s="32">
        <v>72</v>
      </c>
      <c r="Z13" s="39">
        <v>25</v>
      </c>
      <c r="AA13" s="39">
        <v>48</v>
      </c>
      <c r="AB13" s="39">
        <v>65</v>
      </c>
      <c r="AC13" s="39">
        <v>97</v>
      </c>
      <c r="AD13" s="39">
        <v>45.8328956582633</v>
      </c>
      <c r="AE13" s="39">
        <v>25.7745098039216</v>
      </c>
    </row>
    <row r="14" spans="1:31">
      <c r="A14" s="36" t="s">
        <v>43</v>
      </c>
      <c r="B14" s="9">
        <v>14</v>
      </c>
      <c r="C14" s="9">
        <v>27</v>
      </c>
      <c r="D14" s="9">
        <v>37</v>
      </c>
      <c r="E14" s="9">
        <v>53</v>
      </c>
      <c r="F14" s="9">
        <v>23.2410033593857</v>
      </c>
      <c r="G14" s="9">
        <v>16.8653846153846</v>
      </c>
      <c r="H14" s="29">
        <v>7</v>
      </c>
      <c r="I14" s="29">
        <v>16</v>
      </c>
      <c r="J14" s="29">
        <v>22</v>
      </c>
      <c r="K14" s="29">
        <v>29</v>
      </c>
      <c r="L14" s="29">
        <v>57.0956228956229</v>
      </c>
      <c r="M14" s="29">
        <v>43.1818181818182</v>
      </c>
      <c r="N14" s="20">
        <v>4</v>
      </c>
      <c r="O14" s="20">
        <v>13</v>
      </c>
      <c r="P14" s="20">
        <v>19</v>
      </c>
      <c r="Q14" s="20">
        <v>35</v>
      </c>
      <c r="R14" s="20">
        <v>67.2645833333333</v>
      </c>
      <c r="S14" s="20">
        <v>29</v>
      </c>
      <c r="T14" s="32">
        <v>4</v>
      </c>
      <c r="U14" s="32">
        <v>6</v>
      </c>
      <c r="V14" s="32">
        <v>8</v>
      </c>
      <c r="W14" s="32">
        <v>11</v>
      </c>
      <c r="X14" s="32">
        <v>109.293560606061</v>
      </c>
      <c r="Y14" s="32">
        <v>80.8181818181818</v>
      </c>
      <c r="Z14" s="39">
        <v>24</v>
      </c>
      <c r="AA14" s="39">
        <v>51</v>
      </c>
      <c r="AB14" s="39">
        <v>64</v>
      </c>
      <c r="AC14" s="39">
        <v>99</v>
      </c>
      <c r="AD14" s="39">
        <v>39.855768999519</v>
      </c>
      <c r="AE14" s="39">
        <v>19.5490196078431</v>
      </c>
    </row>
    <row r="15" spans="1:31">
      <c r="A15" s="36" t="s">
        <v>44</v>
      </c>
      <c r="B15" s="9">
        <v>14</v>
      </c>
      <c r="C15" s="9">
        <v>27</v>
      </c>
      <c r="D15" s="9">
        <v>39</v>
      </c>
      <c r="E15" s="9">
        <v>56</v>
      </c>
      <c r="F15" s="9">
        <v>23.7889465926231</v>
      </c>
      <c r="G15" s="9">
        <v>17.5</v>
      </c>
      <c r="H15" s="29">
        <v>6</v>
      </c>
      <c r="I15" s="29">
        <v>15</v>
      </c>
      <c r="J15" s="29">
        <v>22</v>
      </c>
      <c r="K15" s="29">
        <v>27</v>
      </c>
      <c r="L15" s="29">
        <v>62.9212121212121</v>
      </c>
      <c r="M15" s="29">
        <v>49.2121212121212</v>
      </c>
      <c r="N15" s="20">
        <v>4</v>
      </c>
      <c r="O15" s="20">
        <v>14</v>
      </c>
      <c r="P15" s="20">
        <v>19</v>
      </c>
      <c r="Q15" s="20">
        <v>33</v>
      </c>
      <c r="R15" s="20">
        <v>66.3333333333333</v>
      </c>
      <c r="S15" s="20">
        <v>28.3333333333333</v>
      </c>
      <c r="T15" s="32">
        <v>5</v>
      </c>
      <c r="U15" s="32">
        <v>6</v>
      </c>
      <c r="V15" s="32">
        <v>8</v>
      </c>
      <c r="W15" s="32">
        <v>13</v>
      </c>
      <c r="X15" s="32">
        <v>102.539772727273</v>
      </c>
      <c r="Y15" s="32">
        <v>69.8181818181818</v>
      </c>
      <c r="Z15" s="39">
        <v>24</v>
      </c>
      <c r="AA15" s="39">
        <v>51</v>
      </c>
      <c r="AB15" s="39">
        <v>68</v>
      </c>
      <c r="AC15" s="39">
        <v>101</v>
      </c>
      <c r="AD15" s="39">
        <v>38.1860387842005</v>
      </c>
      <c r="AE15" s="39">
        <v>19.5588235294118</v>
      </c>
    </row>
    <row r="16" spans="1:31">
      <c r="A16" s="36" t="s">
        <v>45</v>
      </c>
      <c r="B16" s="9">
        <v>10</v>
      </c>
      <c r="C16" s="9">
        <v>26</v>
      </c>
      <c r="D16" s="9">
        <v>40</v>
      </c>
      <c r="E16" s="9">
        <v>55</v>
      </c>
      <c r="F16" s="9">
        <v>22.6452505827506</v>
      </c>
      <c r="G16" s="9">
        <v>16.1923076923077</v>
      </c>
      <c r="H16" s="29">
        <v>9</v>
      </c>
      <c r="I16" s="29">
        <v>17</v>
      </c>
      <c r="J16" s="29">
        <v>22</v>
      </c>
      <c r="K16" s="29">
        <v>29</v>
      </c>
      <c r="L16" s="29">
        <v>59.7043771043771</v>
      </c>
      <c r="M16" s="29">
        <v>46.6666666666667</v>
      </c>
      <c r="N16" s="20">
        <v>5</v>
      </c>
      <c r="O16" s="20">
        <v>14</v>
      </c>
      <c r="P16" s="20">
        <v>17</v>
      </c>
      <c r="Q16" s="20">
        <v>33</v>
      </c>
      <c r="R16" s="20">
        <v>67.2229166666667</v>
      </c>
      <c r="S16" s="20">
        <v>30.375</v>
      </c>
      <c r="T16" s="32">
        <v>5</v>
      </c>
      <c r="U16" s="32">
        <v>6</v>
      </c>
      <c r="V16" s="32">
        <v>7</v>
      </c>
      <c r="W16" s="32">
        <v>13</v>
      </c>
      <c r="X16" s="32">
        <v>96.9003787878788</v>
      </c>
      <c r="Y16" s="32">
        <v>63.9545454545455</v>
      </c>
      <c r="Z16" s="39">
        <v>24</v>
      </c>
      <c r="AA16" s="39">
        <v>53</v>
      </c>
      <c r="AB16" s="39">
        <v>69</v>
      </c>
      <c r="AC16" s="39">
        <v>96</v>
      </c>
      <c r="AD16" s="39">
        <v>40.2669161856662</v>
      </c>
      <c r="AE16" s="39">
        <v>19.2254901960784</v>
      </c>
    </row>
    <row r="17" spans="1:31">
      <c r="A17" s="36" t="s">
        <v>46</v>
      </c>
      <c r="B17" s="9">
        <v>13</v>
      </c>
      <c r="C17" s="9">
        <v>28</v>
      </c>
      <c r="D17" s="9">
        <v>39</v>
      </c>
      <c r="E17" s="9">
        <v>53</v>
      </c>
      <c r="F17" s="9">
        <v>23.7803578774167</v>
      </c>
      <c r="G17" s="9">
        <v>17.7307692307692</v>
      </c>
      <c r="H17" s="29">
        <v>8</v>
      </c>
      <c r="I17" s="29">
        <v>17</v>
      </c>
      <c r="J17" s="29">
        <v>22</v>
      </c>
      <c r="K17" s="29">
        <v>30</v>
      </c>
      <c r="L17" s="29">
        <v>57.5718855218855</v>
      </c>
      <c r="M17" s="29">
        <v>43.6666666666667</v>
      </c>
      <c r="N17" s="20">
        <v>3</v>
      </c>
      <c r="O17" s="20">
        <v>13</v>
      </c>
      <c r="P17" s="20">
        <v>18</v>
      </c>
      <c r="Q17" s="20">
        <v>35</v>
      </c>
      <c r="R17" s="20">
        <v>66.1118055555555</v>
      </c>
      <c r="S17" s="20">
        <v>28.5416666666667</v>
      </c>
      <c r="T17" s="32">
        <v>4</v>
      </c>
      <c r="U17" s="32">
        <v>6</v>
      </c>
      <c r="V17" s="32">
        <v>8</v>
      </c>
      <c r="W17" s="32">
        <v>14</v>
      </c>
      <c r="X17" s="32">
        <v>93.3560606060606</v>
      </c>
      <c r="Y17" s="32">
        <v>60</v>
      </c>
      <c r="Z17" s="39">
        <v>25</v>
      </c>
      <c r="AA17" s="39">
        <v>53</v>
      </c>
      <c r="AB17" s="39">
        <v>66</v>
      </c>
      <c r="AC17" s="39">
        <v>99</v>
      </c>
      <c r="AD17" s="39">
        <v>39.0427190320573</v>
      </c>
      <c r="AE17" s="39">
        <v>19.843137254902</v>
      </c>
    </row>
    <row r="18" spans="1:31">
      <c r="A18" s="36" t="s">
        <v>47</v>
      </c>
      <c r="B18" s="9">
        <v>11</v>
      </c>
      <c r="C18" s="9">
        <v>27</v>
      </c>
      <c r="D18" s="9">
        <v>38</v>
      </c>
      <c r="E18" s="9">
        <v>54</v>
      </c>
      <c r="F18" s="9">
        <v>23.6772453037159</v>
      </c>
      <c r="G18" s="9">
        <v>16.7884615384615</v>
      </c>
      <c r="H18" s="29">
        <v>7</v>
      </c>
      <c r="I18" s="29">
        <v>15</v>
      </c>
      <c r="J18" s="29">
        <v>20</v>
      </c>
      <c r="K18" s="29">
        <v>30</v>
      </c>
      <c r="L18" s="29">
        <v>58.3340067340067</v>
      </c>
      <c r="M18" s="29">
        <v>44.0606060606061</v>
      </c>
      <c r="N18" s="20">
        <v>5</v>
      </c>
      <c r="O18" s="20">
        <v>12</v>
      </c>
      <c r="P18" s="20">
        <v>18</v>
      </c>
      <c r="Q18" s="20">
        <v>33</v>
      </c>
      <c r="R18" s="20">
        <v>67.1729166666667</v>
      </c>
      <c r="S18" s="20">
        <v>29.7916666666667</v>
      </c>
      <c r="T18" s="32">
        <v>3</v>
      </c>
      <c r="U18" s="32">
        <v>3</v>
      </c>
      <c r="V18" s="32">
        <v>5</v>
      </c>
      <c r="W18" s="32">
        <v>11</v>
      </c>
      <c r="X18" s="32">
        <v>99.9333333333333</v>
      </c>
      <c r="Y18" s="32">
        <v>71.2727272727273</v>
      </c>
      <c r="Z18" s="39">
        <v>28</v>
      </c>
      <c r="AA18" s="39">
        <v>53</v>
      </c>
      <c r="AB18" s="39">
        <v>67</v>
      </c>
      <c r="AC18" s="39">
        <v>101</v>
      </c>
      <c r="AD18" s="39">
        <v>37.3164489785813</v>
      </c>
      <c r="AE18" s="39">
        <v>18.8137254901961</v>
      </c>
    </row>
    <row r="19" spans="1:31">
      <c r="A19" s="36" t="s">
        <v>48</v>
      </c>
      <c r="B19" s="9">
        <v>13</v>
      </c>
      <c r="C19" s="9">
        <v>29</v>
      </c>
      <c r="D19" s="9">
        <v>39</v>
      </c>
      <c r="E19" s="9">
        <v>56</v>
      </c>
      <c r="F19" s="9">
        <v>23.3300185109009</v>
      </c>
      <c r="G19" s="9">
        <v>17.1153846153846</v>
      </c>
      <c r="H19" s="29">
        <v>6</v>
      </c>
      <c r="I19" s="29">
        <v>15</v>
      </c>
      <c r="J19" s="29">
        <v>21</v>
      </c>
      <c r="K19" s="29">
        <v>34</v>
      </c>
      <c r="L19" s="29">
        <v>59.5537037037037</v>
      </c>
      <c r="M19" s="29">
        <v>46.7878787878788</v>
      </c>
      <c r="N19" s="20">
        <v>4</v>
      </c>
      <c r="O19" s="20">
        <v>14</v>
      </c>
      <c r="P19" s="20">
        <v>19</v>
      </c>
      <c r="Q19" s="20">
        <v>35</v>
      </c>
      <c r="R19" s="20">
        <v>67.0819444444444</v>
      </c>
      <c r="S19" s="20">
        <v>29.25</v>
      </c>
      <c r="T19" s="32">
        <v>4</v>
      </c>
      <c r="U19" s="32">
        <v>5</v>
      </c>
      <c r="V19" s="32">
        <v>7</v>
      </c>
      <c r="W19" s="32">
        <v>12</v>
      </c>
      <c r="X19" s="32">
        <v>96.7083333333333</v>
      </c>
      <c r="Y19" s="32">
        <v>64.5</v>
      </c>
      <c r="Z19" s="39">
        <v>25</v>
      </c>
      <c r="AA19" s="39">
        <v>53</v>
      </c>
      <c r="AB19" s="39">
        <v>68</v>
      </c>
      <c r="AC19" s="39">
        <v>105</v>
      </c>
      <c r="AD19" s="39">
        <v>38.6488806128512</v>
      </c>
      <c r="AE19" s="39">
        <v>21.0588235294118</v>
      </c>
    </row>
    <row r="20" spans="1:31">
      <c r="A20" s="36" t="s">
        <v>49</v>
      </c>
      <c r="B20" s="9">
        <v>10</v>
      </c>
      <c r="C20" s="9">
        <v>30</v>
      </c>
      <c r="D20" s="9">
        <v>39</v>
      </c>
      <c r="E20" s="9">
        <v>54</v>
      </c>
      <c r="F20" s="9">
        <v>24.0564513917455</v>
      </c>
      <c r="G20" s="9">
        <v>17.6153846153846</v>
      </c>
      <c r="H20" s="29">
        <v>7</v>
      </c>
      <c r="I20" s="29">
        <v>16</v>
      </c>
      <c r="J20" s="29">
        <v>21</v>
      </c>
      <c r="K20" s="29">
        <v>32</v>
      </c>
      <c r="L20" s="29">
        <v>61.0638047138047</v>
      </c>
      <c r="M20" s="29">
        <v>46.8787878787879</v>
      </c>
      <c r="N20" s="20">
        <v>4</v>
      </c>
      <c r="O20" s="20">
        <v>13</v>
      </c>
      <c r="P20" s="20">
        <v>19</v>
      </c>
      <c r="Q20" s="20">
        <v>34</v>
      </c>
      <c r="R20" s="20">
        <v>66.9381944444444</v>
      </c>
      <c r="S20" s="20">
        <v>28.75</v>
      </c>
      <c r="T20" s="32">
        <v>5</v>
      </c>
      <c r="U20" s="32">
        <v>8</v>
      </c>
      <c r="V20" s="32">
        <v>8</v>
      </c>
      <c r="W20" s="32">
        <v>10</v>
      </c>
      <c r="X20" s="32">
        <v>101.068939393939</v>
      </c>
      <c r="Y20" s="32">
        <v>67.3636363636364</v>
      </c>
      <c r="Z20" s="39">
        <v>24</v>
      </c>
      <c r="AA20" s="39">
        <v>52</v>
      </c>
      <c r="AB20" s="39">
        <v>70</v>
      </c>
      <c r="AC20" s="39">
        <v>98</v>
      </c>
      <c r="AD20" s="39">
        <v>39.8290396966868</v>
      </c>
      <c r="AE20" s="39">
        <v>18.9901960784314</v>
      </c>
    </row>
    <row r="21" spans="1:31">
      <c r="A21" s="36" t="s">
        <v>50</v>
      </c>
      <c r="B21" s="9">
        <v>11</v>
      </c>
      <c r="C21" s="9">
        <v>29</v>
      </c>
      <c r="D21" s="9">
        <v>40</v>
      </c>
      <c r="E21" s="9">
        <v>54</v>
      </c>
      <c r="F21" s="9">
        <v>23.1115847387906</v>
      </c>
      <c r="G21" s="9">
        <v>16.7307692307692</v>
      </c>
      <c r="H21" s="29">
        <v>8</v>
      </c>
      <c r="I21" s="29">
        <v>15</v>
      </c>
      <c r="J21" s="29">
        <v>22</v>
      </c>
      <c r="K21" s="29">
        <v>30</v>
      </c>
      <c r="L21" s="29">
        <v>61.3430976430976</v>
      </c>
      <c r="M21" s="29">
        <v>48.2727272727273</v>
      </c>
      <c r="N21" s="20">
        <v>4</v>
      </c>
      <c r="O21" s="20">
        <v>13</v>
      </c>
      <c r="P21" s="20">
        <v>18</v>
      </c>
      <c r="Q21" s="20">
        <v>35</v>
      </c>
      <c r="R21" s="20">
        <v>65.9402777777778</v>
      </c>
      <c r="S21" s="20">
        <v>29.125</v>
      </c>
      <c r="T21" s="32">
        <v>4</v>
      </c>
      <c r="U21" s="32">
        <v>5</v>
      </c>
      <c r="V21" s="32">
        <v>7</v>
      </c>
      <c r="W21" s="32">
        <v>13</v>
      </c>
      <c r="X21" s="32">
        <v>92.4590909090909</v>
      </c>
      <c r="Y21" s="32">
        <v>58.8181818181818</v>
      </c>
      <c r="Z21" s="39">
        <v>23</v>
      </c>
      <c r="AA21" s="39">
        <v>50</v>
      </c>
      <c r="AB21" s="39">
        <v>65</v>
      </c>
      <c r="AC21" s="39">
        <v>98</v>
      </c>
      <c r="AD21" s="39">
        <v>37.8337292745381</v>
      </c>
      <c r="AE21" s="39">
        <v>20.1274509803922</v>
      </c>
    </row>
    <row r="22" ht="14.75" spans="1:31">
      <c r="A22" s="36" t="s">
        <v>51</v>
      </c>
      <c r="B22" s="9">
        <v>13</v>
      </c>
      <c r="C22" s="9">
        <v>30</v>
      </c>
      <c r="D22" s="9">
        <v>41</v>
      </c>
      <c r="E22" s="9">
        <v>57</v>
      </c>
      <c r="F22" s="9">
        <v>25.5954476895653</v>
      </c>
      <c r="G22" s="9">
        <v>18.7884615384615</v>
      </c>
      <c r="H22" s="29">
        <v>7</v>
      </c>
      <c r="I22" s="29">
        <v>18</v>
      </c>
      <c r="J22" s="29">
        <v>22</v>
      </c>
      <c r="K22" s="29">
        <v>29</v>
      </c>
      <c r="L22" s="29">
        <v>61.7420875420875</v>
      </c>
      <c r="M22" s="29">
        <v>46.4242424242424</v>
      </c>
      <c r="N22" s="20">
        <v>4</v>
      </c>
      <c r="O22" s="20">
        <v>14</v>
      </c>
      <c r="P22" s="20">
        <v>19</v>
      </c>
      <c r="Q22" s="20">
        <v>34</v>
      </c>
      <c r="R22" s="20">
        <v>67.6770833333333</v>
      </c>
      <c r="S22" s="20">
        <v>29.625</v>
      </c>
      <c r="T22" s="32">
        <v>2</v>
      </c>
      <c r="U22" s="32">
        <v>5</v>
      </c>
      <c r="V22" s="32">
        <v>8</v>
      </c>
      <c r="W22" s="32">
        <v>13</v>
      </c>
      <c r="X22" s="32">
        <v>110.133712121212</v>
      </c>
      <c r="Y22" s="32">
        <v>77.6363636363636</v>
      </c>
      <c r="Z22" s="39">
        <v>22</v>
      </c>
      <c r="AA22" s="39">
        <v>50</v>
      </c>
      <c r="AB22" s="39">
        <v>67</v>
      </c>
      <c r="AC22" s="39">
        <v>97</v>
      </c>
      <c r="AD22" s="39">
        <v>43.6924564270153</v>
      </c>
      <c r="AE22" s="39">
        <v>24.6176470588235</v>
      </c>
    </row>
    <row r="23" ht="14.75" spans="1:31">
      <c r="A23" s="2" t="s">
        <v>18</v>
      </c>
      <c r="B23" s="12">
        <v>15</v>
      </c>
      <c r="C23" s="12">
        <v>28</v>
      </c>
      <c r="D23" s="12">
        <v>41</v>
      </c>
      <c r="E23" s="12">
        <v>53</v>
      </c>
      <c r="F23" s="13">
        <v>24.66</v>
      </c>
      <c r="G23" s="14">
        <v>18.35</v>
      </c>
      <c r="H23" s="14">
        <v>11</v>
      </c>
      <c r="I23" s="14">
        <v>17</v>
      </c>
      <c r="J23" s="14">
        <v>20</v>
      </c>
      <c r="K23" s="14">
        <v>29</v>
      </c>
      <c r="L23" s="14">
        <v>59.11</v>
      </c>
      <c r="M23" s="14">
        <v>44.21</v>
      </c>
      <c r="N23" s="21">
        <v>5</v>
      </c>
      <c r="O23" s="21">
        <v>14</v>
      </c>
      <c r="P23" s="21">
        <v>19</v>
      </c>
      <c r="Q23" s="21">
        <v>35</v>
      </c>
      <c r="R23" s="21">
        <v>67.2368055555556</v>
      </c>
      <c r="S23" s="21">
        <v>28.625</v>
      </c>
      <c r="T23" s="26">
        <v>5</v>
      </c>
      <c r="U23" s="26">
        <v>6</v>
      </c>
      <c r="V23" s="26">
        <v>8</v>
      </c>
      <c r="W23" s="26">
        <v>15</v>
      </c>
      <c r="X23" s="26">
        <v>95.16</v>
      </c>
      <c r="Y23" s="26">
        <v>66.41</v>
      </c>
      <c r="Z23" s="26">
        <v>31</v>
      </c>
      <c r="AA23" s="26">
        <v>49</v>
      </c>
      <c r="AB23" s="26">
        <v>67</v>
      </c>
      <c r="AC23" s="26">
        <v>101</v>
      </c>
      <c r="AD23" s="26">
        <v>41.18</v>
      </c>
      <c r="AE23" s="26">
        <v>21.55</v>
      </c>
    </row>
    <row r="24" spans="1:31">
      <c r="A24" s="15" t="s">
        <v>31</v>
      </c>
      <c r="B24" s="2">
        <f>(B3-B23)/B23</f>
        <v>-0.133333333333333</v>
      </c>
      <c r="C24" s="2">
        <f t="shared" ref="C24:AE24" si="0">(C3-C23)/C23</f>
        <v>0.0357142857142857</v>
      </c>
      <c r="D24" s="2">
        <f t="shared" si="0"/>
        <v>-0.0487804878048781</v>
      </c>
      <c r="E24" s="2">
        <f t="shared" si="0"/>
        <v>0.0188679245283019</v>
      </c>
      <c r="F24" s="2">
        <f t="shared" si="0"/>
        <v>-0.0341653480339619</v>
      </c>
      <c r="G24" s="2">
        <f t="shared" si="0"/>
        <v>-0.0672814923496132</v>
      </c>
      <c r="H24" s="2">
        <f t="shared" si="0"/>
        <v>-0.454545454545455</v>
      </c>
      <c r="I24" s="2">
        <f t="shared" si="0"/>
        <v>-0.0588235294117647</v>
      </c>
      <c r="J24" s="2">
        <f t="shared" si="0"/>
        <v>0.05</v>
      </c>
      <c r="K24" s="2">
        <f t="shared" si="0"/>
        <v>-0.103448275862069</v>
      </c>
      <c r="L24" s="2">
        <f t="shared" si="0"/>
        <v>-0.00462642553659275</v>
      </c>
      <c r="M24" s="2">
        <f t="shared" si="0"/>
        <v>-0.00612092423899793</v>
      </c>
      <c r="N24" s="2">
        <f t="shared" si="0"/>
        <v>-0.4</v>
      </c>
      <c r="O24" s="2">
        <f t="shared" si="0"/>
        <v>-0.0714285714285714</v>
      </c>
      <c r="P24" s="2">
        <f t="shared" si="0"/>
        <v>0</v>
      </c>
      <c r="Q24" s="2">
        <f t="shared" si="0"/>
        <v>0</v>
      </c>
      <c r="R24" s="2">
        <f t="shared" si="0"/>
        <v>-0.00617634604063205</v>
      </c>
      <c r="S24" s="2">
        <f t="shared" si="0"/>
        <v>0.0145560407569153</v>
      </c>
      <c r="T24" s="2">
        <f t="shared" si="0"/>
        <v>0</v>
      </c>
      <c r="U24" s="2">
        <f t="shared" si="0"/>
        <v>-0.166666666666667</v>
      </c>
      <c r="V24" s="2">
        <f t="shared" si="0"/>
        <v>0</v>
      </c>
      <c r="W24" s="2">
        <f t="shared" si="0"/>
        <v>-0.0666666666666667</v>
      </c>
      <c r="X24" s="2">
        <f t="shared" si="0"/>
        <v>0.031512317372973</v>
      </c>
      <c r="Y24" s="2">
        <f t="shared" si="0"/>
        <v>-0.00548931568356411</v>
      </c>
      <c r="Z24" s="2">
        <f t="shared" si="0"/>
        <v>-0.129032258064516</v>
      </c>
      <c r="AA24" s="2">
        <f t="shared" si="0"/>
        <v>0.102040816326531</v>
      </c>
      <c r="AB24" s="2">
        <f t="shared" si="0"/>
        <v>0.0447761194029851</v>
      </c>
      <c r="AC24" s="2">
        <f t="shared" si="0"/>
        <v>-0.0396039603960396</v>
      </c>
      <c r="AD24" s="2">
        <f t="shared" si="0"/>
        <v>0.0688227771227806</v>
      </c>
      <c r="AE24" s="2">
        <f t="shared" si="0"/>
        <v>0.0672853828306264</v>
      </c>
    </row>
    <row r="25" spans="1:31">
      <c r="A25" s="15"/>
      <c r="B25" s="2">
        <f>(B4-B23)/B23</f>
        <v>-0.333333333333333</v>
      </c>
      <c r="C25" s="2">
        <f t="shared" ref="C25:AE25" si="1">(C4-C23)/C23</f>
        <v>0.0714285714285714</v>
      </c>
      <c r="D25" s="2">
        <f t="shared" si="1"/>
        <v>-0.0487804878048781</v>
      </c>
      <c r="E25" s="2">
        <f t="shared" si="1"/>
        <v>0.0188679245283019</v>
      </c>
      <c r="F25" s="2">
        <f t="shared" si="1"/>
        <v>0.0027957070679278</v>
      </c>
      <c r="G25" s="2">
        <f t="shared" si="1"/>
        <v>-0.038985537623139</v>
      </c>
      <c r="H25" s="2">
        <f t="shared" si="1"/>
        <v>-0.272727272727273</v>
      </c>
      <c r="I25" s="2">
        <f t="shared" si="1"/>
        <v>0.0588235294117647</v>
      </c>
      <c r="J25" s="2">
        <f t="shared" si="1"/>
        <v>0.2</v>
      </c>
      <c r="K25" s="2">
        <f t="shared" si="1"/>
        <v>0.0689655172413793</v>
      </c>
      <c r="L25" s="2">
        <f t="shared" si="1"/>
        <v>0.00538743323382166</v>
      </c>
      <c r="M25" s="2">
        <f t="shared" si="1"/>
        <v>0.0178692603483375</v>
      </c>
      <c r="N25" s="2">
        <f t="shared" si="1"/>
        <v>0</v>
      </c>
      <c r="O25" s="2">
        <f t="shared" si="1"/>
        <v>0</v>
      </c>
      <c r="P25" s="2">
        <f t="shared" si="1"/>
        <v>0</v>
      </c>
      <c r="Q25" s="2">
        <f t="shared" si="1"/>
        <v>-0.0285714285714286</v>
      </c>
      <c r="R25" s="2">
        <f t="shared" si="1"/>
        <v>-0.00422429018498098</v>
      </c>
      <c r="S25" s="2">
        <f t="shared" si="1"/>
        <v>0.0305676855895196</v>
      </c>
      <c r="T25" s="2">
        <f t="shared" si="1"/>
        <v>-0.4</v>
      </c>
      <c r="U25" s="2">
        <f t="shared" si="1"/>
        <v>-0.166666666666667</v>
      </c>
      <c r="V25" s="2">
        <f t="shared" si="1"/>
        <v>-0.125</v>
      </c>
      <c r="W25" s="2">
        <f t="shared" si="1"/>
        <v>-0.2</v>
      </c>
      <c r="X25" s="2">
        <f t="shared" si="1"/>
        <v>-0.0143195829671238</v>
      </c>
      <c r="Y25" s="2">
        <f t="shared" si="1"/>
        <v>-0.0294451821330297</v>
      </c>
      <c r="Z25" s="2">
        <f t="shared" si="1"/>
        <v>-0.290322580645161</v>
      </c>
      <c r="AA25" s="2">
        <f t="shared" si="1"/>
        <v>0.0408163265306122</v>
      </c>
      <c r="AB25" s="2">
        <f t="shared" si="1"/>
        <v>0.0447761194029851</v>
      </c>
      <c r="AC25" s="2">
        <f t="shared" si="1"/>
        <v>-0.0099009900990099</v>
      </c>
      <c r="AD25" s="2">
        <f t="shared" si="1"/>
        <v>-0.0245831347486911</v>
      </c>
      <c r="AE25" s="2">
        <f t="shared" si="1"/>
        <v>-0.0214275965606683</v>
      </c>
    </row>
    <row r="26" spans="1:31">
      <c r="A26" s="15"/>
      <c r="B26" s="2">
        <f>(B5-B23)/B23</f>
        <v>-0.266666666666667</v>
      </c>
      <c r="C26" s="2">
        <f t="shared" ref="C26:AE26" si="2">(C5-C23)/C23</f>
        <v>0.0357142857142857</v>
      </c>
      <c r="D26" s="2">
        <f t="shared" si="2"/>
        <v>-0.0487804878048781</v>
      </c>
      <c r="E26" s="2">
        <f t="shared" si="2"/>
        <v>0</v>
      </c>
      <c r="F26" s="2">
        <f t="shared" si="2"/>
        <v>-0.0288779589445094</v>
      </c>
      <c r="G26" s="2">
        <f t="shared" si="2"/>
        <v>-0.0337455460071281</v>
      </c>
      <c r="H26" s="2">
        <f t="shared" si="2"/>
        <v>-0.272727272727273</v>
      </c>
      <c r="I26" s="2">
        <f t="shared" si="2"/>
        <v>-0.117647058823529</v>
      </c>
      <c r="J26" s="2">
        <f t="shared" si="2"/>
        <v>0.1</v>
      </c>
      <c r="K26" s="2">
        <f t="shared" si="2"/>
        <v>0</v>
      </c>
      <c r="L26" s="2">
        <f t="shared" si="2"/>
        <v>-0.0282057022033345</v>
      </c>
      <c r="M26" s="2">
        <f t="shared" si="2"/>
        <v>0.0178692603483375</v>
      </c>
      <c r="N26" s="2">
        <f t="shared" si="2"/>
        <v>-0.4</v>
      </c>
      <c r="O26" s="2">
        <f t="shared" si="2"/>
        <v>-0.0714285714285714</v>
      </c>
      <c r="P26" s="2">
        <f t="shared" si="2"/>
        <v>-0.0526315789473684</v>
      </c>
      <c r="Q26" s="2">
        <f t="shared" si="2"/>
        <v>0</v>
      </c>
      <c r="R26" s="2">
        <f t="shared" si="2"/>
        <v>-0.0193346484750211</v>
      </c>
      <c r="S26" s="2">
        <f t="shared" si="2"/>
        <v>0.0305676855895196</v>
      </c>
      <c r="T26" s="2">
        <f t="shared" si="2"/>
        <v>-0.2</v>
      </c>
      <c r="U26" s="2">
        <f t="shared" si="2"/>
        <v>0</v>
      </c>
      <c r="V26" s="2">
        <f t="shared" si="2"/>
        <v>0</v>
      </c>
      <c r="W26" s="2">
        <f t="shared" si="2"/>
        <v>-0.266666666666667</v>
      </c>
      <c r="X26" s="2">
        <f t="shared" si="2"/>
        <v>0.0491341536423508</v>
      </c>
      <c r="Y26" s="2">
        <f t="shared" si="2"/>
        <v>0.0232577240557973</v>
      </c>
      <c r="Z26" s="2">
        <f t="shared" si="2"/>
        <v>-0.0645161290322581</v>
      </c>
      <c r="AA26" s="2">
        <f t="shared" si="2"/>
        <v>0.0204081632653061</v>
      </c>
      <c r="AB26" s="2">
        <f t="shared" si="2"/>
        <v>0</v>
      </c>
      <c r="AC26" s="2">
        <f t="shared" si="2"/>
        <v>-0.0099009900990099</v>
      </c>
      <c r="AD26" s="2">
        <f t="shared" si="2"/>
        <v>-0.0767239148002938</v>
      </c>
      <c r="AE26" s="2">
        <f t="shared" si="2"/>
        <v>-0.0478140212001253</v>
      </c>
    </row>
    <row r="27" spans="1:31">
      <c r="A27" s="15"/>
      <c r="B27" s="2">
        <f>(B6-B23)/B23</f>
        <v>-0.333333333333333</v>
      </c>
      <c r="C27" s="2">
        <f t="shared" ref="C27:AE27" si="3">(C6-C23)/C23</f>
        <v>0.0357142857142857</v>
      </c>
      <c r="D27" s="2">
        <f t="shared" si="3"/>
        <v>0</v>
      </c>
      <c r="E27" s="2">
        <f t="shared" si="3"/>
        <v>0.0943396226415094</v>
      </c>
      <c r="F27" s="2">
        <f t="shared" si="3"/>
        <v>-0.127120126744428</v>
      </c>
      <c r="G27" s="2">
        <f t="shared" si="3"/>
        <v>-0.150073359882621</v>
      </c>
      <c r="H27" s="2">
        <f t="shared" si="3"/>
        <v>-0.181818181818182</v>
      </c>
      <c r="I27" s="2">
        <f t="shared" si="3"/>
        <v>-0.0588235294117647</v>
      </c>
      <c r="J27" s="2">
        <f t="shared" si="3"/>
        <v>0.1</v>
      </c>
      <c r="K27" s="2">
        <f t="shared" si="3"/>
        <v>0.103448275862069</v>
      </c>
      <c r="L27" s="2">
        <f t="shared" si="3"/>
        <v>-0.0225522580454069</v>
      </c>
      <c r="M27" s="2">
        <f t="shared" si="3"/>
        <v>-0.00132288732153137</v>
      </c>
      <c r="N27" s="2">
        <f t="shared" si="3"/>
        <v>0</v>
      </c>
      <c r="O27" s="2">
        <f t="shared" si="3"/>
        <v>-0.0714285714285714</v>
      </c>
      <c r="P27" s="2">
        <f t="shared" si="3"/>
        <v>-0.105263157894737</v>
      </c>
      <c r="Q27" s="2">
        <f t="shared" si="3"/>
        <v>-0.0857142857142857</v>
      </c>
      <c r="R27" s="2">
        <f t="shared" si="3"/>
        <v>-0.0263682465580819</v>
      </c>
      <c r="S27" s="2">
        <f t="shared" si="3"/>
        <v>0.0524017467248908</v>
      </c>
      <c r="T27" s="2">
        <f t="shared" si="3"/>
        <v>0</v>
      </c>
      <c r="U27" s="2">
        <f t="shared" si="3"/>
        <v>0</v>
      </c>
      <c r="V27" s="2">
        <f t="shared" si="3"/>
        <v>0</v>
      </c>
      <c r="W27" s="2">
        <f t="shared" si="3"/>
        <v>-0.133333333333333</v>
      </c>
      <c r="X27" s="2">
        <f t="shared" si="3"/>
        <v>0.0725675735921606</v>
      </c>
      <c r="Y27" s="2">
        <f t="shared" si="3"/>
        <v>0.0766450835717513</v>
      </c>
      <c r="Z27" s="2">
        <f t="shared" si="3"/>
        <v>-0.161290322580645</v>
      </c>
      <c r="AA27" s="2">
        <f t="shared" si="3"/>
        <v>0.0408163265306122</v>
      </c>
      <c r="AB27" s="2">
        <f t="shared" si="3"/>
        <v>-0.0149253731343284</v>
      </c>
      <c r="AC27" s="2">
        <f t="shared" si="3"/>
        <v>0.0198019801980198</v>
      </c>
      <c r="AD27" s="2">
        <f t="shared" si="3"/>
        <v>-0.0273426470680986</v>
      </c>
      <c r="AE27" s="2">
        <f t="shared" si="3"/>
        <v>-0.00413993903825985</v>
      </c>
    </row>
    <row r="28" spans="1:31">
      <c r="A28" s="15"/>
      <c r="B28" s="2">
        <f>(B7-B23)/B23</f>
        <v>-0.266666666666667</v>
      </c>
      <c r="C28" s="2">
        <f t="shared" ref="C28:AE28" si="4">(C7-C23)/C23</f>
        <v>-0.0357142857142857</v>
      </c>
      <c r="D28" s="2">
        <f t="shared" si="4"/>
        <v>-0.0731707317073171</v>
      </c>
      <c r="E28" s="2">
        <f t="shared" si="4"/>
        <v>0.0188679245283019</v>
      </c>
      <c r="F28" s="2">
        <f t="shared" si="4"/>
        <v>-0.0624388015972385</v>
      </c>
      <c r="G28" s="2">
        <f t="shared" si="4"/>
        <v>-0.0672814923496132</v>
      </c>
      <c r="H28" s="2">
        <f t="shared" si="4"/>
        <v>-0.454545454545455</v>
      </c>
      <c r="I28" s="2">
        <f t="shared" si="4"/>
        <v>-0.176470588235294</v>
      </c>
      <c r="J28" s="2">
        <f t="shared" si="4"/>
        <v>-0.05</v>
      </c>
      <c r="K28" s="2">
        <f t="shared" si="4"/>
        <v>0</v>
      </c>
      <c r="L28" s="2">
        <f t="shared" si="4"/>
        <v>0.015757302341636</v>
      </c>
      <c r="M28" s="2">
        <f t="shared" si="4"/>
        <v>0.0555681218427211</v>
      </c>
      <c r="N28" s="2">
        <f t="shared" si="4"/>
        <v>-0.2</v>
      </c>
      <c r="O28" s="2">
        <f t="shared" si="4"/>
        <v>-0.0714285714285714</v>
      </c>
      <c r="P28" s="2">
        <f t="shared" si="4"/>
        <v>0</v>
      </c>
      <c r="Q28" s="2">
        <f t="shared" si="4"/>
        <v>-0.0285714285714286</v>
      </c>
      <c r="R28" s="2">
        <f t="shared" si="4"/>
        <v>-0.00255109945156576</v>
      </c>
      <c r="S28" s="2">
        <f t="shared" si="4"/>
        <v>0.0189228529839895</v>
      </c>
      <c r="T28" s="2">
        <f t="shared" si="4"/>
        <v>-0.2</v>
      </c>
      <c r="U28" s="2">
        <f t="shared" si="4"/>
        <v>0</v>
      </c>
      <c r="V28" s="2">
        <f t="shared" si="4"/>
        <v>-0.125</v>
      </c>
      <c r="W28" s="2">
        <f t="shared" si="4"/>
        <v>0</v>
      </c>
      <c r="X28" s="2">
        <f t="shared" si="4"/>
        <v>0.0115897308520261</v>
      </c>
      <c r="Y28" s="2">
        <f t="shared" si="4"/>
        <v>0.00751529753186132</v>
      </c>
      <c r="Z28" s="2">
        <f t="shared" si="4"/>
        <v>-0.193548387096774</v>
      </c>
      <c r="AA28" s="2">
        <f t="shared" si="4"/>
        <v>0.0816326530612245</v>
      </c>
      <c r="AB28" s="2">
        <f t="shared" si="4"/>
        <v>0.0447761194029851</v>
      </c>
      <c r="AC28" s="2">
        <f t="shared" si="4"/>
        <v>0.0198019801980198</v>
      </c>
      <c r="AD28" s="2">
        <f t="shared" si="4"/>
        <v>0.0487801313587665</v>
      </c>
      <c r="AE28" s="2">
        <f t="shared" si="4"/>
        <v>-0.00413993903825985</v>
      </c>
    </row>
    <row r="29" spans="1:31">
      <c r="A29" s="15"/>
      <c r="B29" s="2">
        <f>(B8-B23)/B23</f>
        <v>-0.333333333333333</v>
      </c>
      <c r="C29" s="2">
        <f t="shared" ref="C29:AE29" si="5">(C8-C23)/C23</f>
        <v>-0.0357142857142857</v>
      </c>
      <c r="D29" s="2">
        <f t="shared" si="5"/>
        <v>-0.0487804878048781</v>
      </c>
      <c r="E29" s="2">
        <f t="shared" si="5"/>
        <v>0.0754716981132075</v>
      </c>
      <c r="F29" s="2">
        <f t="shared" si="5"/>
        <v>-0.0438396304647932</v>
      </c>
      <c r="G29" s="2">
        <f t="shared" si="5"/>
        <v>-0.08509746384406</v>
      </c>
      <c r="H29" s="2">
        <f t="shared" si="5"/>
        <v>-0.363636363636364</v>
      </c>
      <c r="I29" s="2">
        <f t="shared" si="5"/>
        <v>0</v>
      </c>
      <c r="J29" s="2">
        <f t="shared" si="5"/>
        <v>0.1</v>
      </c>
      <c r="K29" s="2">
        <f t="shared" si="5"/>
        <v>-0.0689655172413793</v>
      </c>
      <c r="L29" s="2">
        <f t="shared" si="5"/>
        <v>-0.0687510075092539</v>
      </c>
      <c r="M29" s="2">
        <f t="shared" si="5"/>
        <v>-0.0780914780009998</v>
      </c>
      <c r="N29" s="2">
        <f t="shared" si="5"/>
        <v>-0.2</v>
      </c>
      <c r="O29" s="2">
        <f t="shared" si="5"/>
        <v>-0.0714285714285714</v>
      </c>
      <c r="P29" s="2">
        <f t="shared" si="5"/>
        <v>0</v>
      </c>
      <c r="Q29" s="2">
        <f t="shared" si="5"/>
        <v>-0.0285714285714286</v>
      </c>
      <c r="R29" s="2">
        <f t="shared" si="5"/>
        <v>-0.00259241280300835</v>
      </c>
      <c r="S29" s="2">
        <f t="shared" si="5"/>
        <v>0.0189228529839895</v>
      </c>
      <c r="T29" s="2">
        <f t="shared" si="5"/>
        <v>-0.2</v>
      </c>
      <c r="U29" s="2">
        <f t="shared" si="5"/>
        <v>0</v>
      </c>
      <c r="V29" s="2">
        <f t="shared" si="5"/>
        <v>-0.125</v>
      </c>
      <c r="W29" s="2">
        <f t="shared" si="5"/>
        <v>-0.2</v>
      </c>
      <c r="X29" s="2">
        <f t="shared" si="5"/>
        <v>0.0509214146509248</v>
      </c>
      <c r="Y29" s="2">
        <f t="shared" si="5"/>
        <v>0.0609026570478166</v>
      </c>
      <c r="Z29" s="2">
        <f t="shared" si="5"/>
        <v>-0.193548387096774</v>
      </c>
      <c r="AA29" s="2">
        <f t="shared" si="5"/>
        <v>0.122448979591837</v>
      </c>
      <c r="AB29" s="2">
        <f t="shared" si="5"/>
        <v>0.0298507462686567</v>
      </c>
      <c r="AC29" s="2">
        <f t="shared" si="5"/>
        <v>-0.0396039603960396</v>
      </c>
      <c r="AD29" s="2">
        <f t="shared" si="5"/>
        <v>-0.0211669326852306</v>
      </c>
      <c r="AE29" s="2">
        <f t="shared" si="5"/>
        <v>0.0104180883490301</v>
      </c>
    </row>
    <row r="30" spans="1:31">
      <c r="A30" s="15"/>
      <c r="B30" s="2">
        <f>(B9-B23)/B23</f>
        <v>-0.266666666666667</v>
      </c>
      <c r="C30" s="2">
        <f t="shared" ref="C30:AE30" si="6">(C9-C23)/C23</f>
        <v>0</v>
      </c>
      <c r="D30" s="2">
        <f t="shared" si="6"/>
        <v>-0.0731707317073171</v>
      </c>
      <c r="E30" s="2">
        <f t="shared" si="6"/>
        <v>0.0188679245283019</v>
      </c>
      <c r="F30" s="2">
        <f t="shared" si="6"/>
        <v>-0.0304310986470722</v>
      </c>
      <c r="G30" s="2">
        <f t="shared" si="6"/>
        <v>-0.0243135610983053</v>
      </c>
      <c r="H30" s="2">
        <f t="shared" si="6"/>
        <v>-0.363636363636364</v>
      </c>
      <c r="I30" s="2">
        <f t="shared" si="6"/>
        <v>0.0588235294117647</v>
      </c>
      <c r="J30" s="2">
        <f t="shared" si="6"/>
        <v>0.1</v>
      </c>
      <c r="K30" s="2">
        <f t="shared" si="6"/>
        <v>-0.0689655172413793</v>
      </c>
      <c r="L30" s="2">
        <f t="shared" si="6"/>
        <v>0.00596274593906108</v>
      </c>
      <c r="M30" s="2">
        <f t="shared" si="6"/>
        <v>-0.00475005654829226</v>
      </c>
      <c r="N30" s="2">
        <f t="shared" si="6"/>
        <v>-0.2</v>
      </c>
      <c r="O30" s="2">
        <f t="shared" si="6"/>
        <v>0</v>
      </c>
      <c r="P30" s="2">
        <f t="shared" si="6"/>
        <v>0</v>
      </c>
      <c r="Q30" s="2">
        <f t="shared" si="6"/>
        <v>-0.0285714285714286</v>
      </c>
      <c r="R30" s="2">
        <f t="shared" si="6"/>
        <v>0.000299521797955655</v>
      </c>
      <c r="S30" s="2">
        <f t="shared" si="6"/>
        <v>0.0072780203784559</v>
      </c>
      <c r="T30" s="2">
        <f t="shared" si="6"/>
        <v>0</v>
      </c>
      <c r="U30" s="2">
        <f t="shared" si="6"/>
        <v>-0.166666666666667</v>
      </c>
      <c r="V30" s="2">
        <f t="shared" si="6"/>
        <v>0.125</v>
      </c>
      <c r="W30" s="2">
        <f t="shared" si="6"/>
        <v>-0.266666666666667</v>
      </c>
      <c r="X30" s="2">
        <f t="shared" si="6"/>
        <v>0.0122903053230927</v>
      </c>
      <c r="Y30" s="2">
        <f t="shared" si="6"/>
        <v>0.021888817401542</v>
      </c>
      <c r="Z30" s="2">
        <f t="shared" si="6"/>
        <v>-0.258064516129032</v>
      </c>
      <c r="AA30" s="2">
        <f t="shared" si="6"/>
        <v>-0.0204081632653061</v>
      </c>
      <c r="AB30" s="2">
        <f t="shared" si="6"/>
        <v>0.0149253731343284</v>
      </c>
      <c r="AC30" s="2">
        <f t="shared" si="6"/>
        <v>0</v>
      </c>
      <c r="AD30" s="2">
        <f t="shared" si="6"/>
        <v>0.0314976635274187</v>
      </c>
      <c r="AE30" s="2">
        <f t="shared" si="6"/>
        <v>0.0245211773804641</v>
      </c>
    </row>
    <row r="31" spans="1:31">
      <c r="A31" s="15"/>
      <c r="B31" s="2">
        <f>(B10-B23)/B23</f>
        <v>-0.2</v>
      </c>
      <c r="C31" s="2">
        <f t="shared" ref="C31:AE31" si="7">(C10-C23)/C23</f>
        <v>0</v>
      </c>
      <c r="D31" s="2">
        <f t="shared" si="7"/>
        <v>-0.0487804878048781</v>
      </c>
      <c r="E31" s="2">
        <f t="shared" si="7"/>
        <v>0.0566037735849057</v>
      </c>
      <c r="F31" s="2">
        <f t="shared" si="7"/>
        <v>-0.0556719472026481</v>
      </c>
      <c r="G31" s="2">
        <f t="shared" si="7"/>
        <v>-0.0798574722280436</v>
      </c>
      <c r="H31" s="2">
        <f t="shared" si="7"/>
        <v>-0.0909090909090909</v>
      </c>
      <c r="I31" s="2">
        <f t="shared" si="7"/>
        <v>-0.117647058823529</v>
      </c>
      <c r="J31" s="2">
        <f t="shared" si="7"/>
        <v>0.05</v>
      </c>
      <c r="K31" s="2">
        <f t="shared" si="7"/>
        <v>-0.0689655172413793</v>
      </c>
      <c r="L31" s="2">
        <f t="shared" si="7"/>
        <v>-0.0680646195787447</v>
      </c>
      <c r="M31" s="2">
        <f t="shared" si="7"/>
        <v>-0.0335382780530944</v>
      </c>
      <c r="N31" s="2">
        <f t="shared" si="7"/>
        <v>-0.4</v>
      </c>
      <c r="O31" s="2">
        <f t="shared" si="7"/>
        <v>-0.0714285714285714</v>
      </c>
      <c r="P31" s="2">
        <f t="shared" si="7"/>
        <v>-0.157894736842105</v>
      </c>
      <c r="Q31" s="2">
        <f t="shared" si="7"/>
        <v>-0.0285714285714286</v>
      </c>
      <c r="R31" s="2">
        <f t="shared" si="7"/>
        <v>-0.0139742411253767</v>
      </c>
      <c r="S31" s="2">
        <f t="shared" si="7"/>
        <v>0.0320232896652122</v>
      </c>
      <c r="T31" s="2">
        <f t="shared" si="7"/>
        <v>-0.2</v>
      </c>
      <c r="U31" s="2">
        <f t="shared" si="7"/>
        <v>-0.333333333333333</v>
      </c>
      <c r="V31" s="2">
        <f t="shared" si="7"/>
        <v>-0.25</v>
      </c>
      <c r="W31" s="2">
        <f t="shared" si="7"/>
        <v>-0.2</v>
      </c>
      <c r="X31" s="2">
        <f t="shared" si="7"/>
        <v>0.102839555708407</v>
      </c>
      <c r="Y31" s="2">
        <f t="shared" si="7"/>
        <v>0.126610176452068</v>
      </c>
      <c r="Z31" s="2">
        <f t="shared" si="7"/>
        <v>-0.193548387096774</v>
      </c>
      <c r="AA31" s="2">
        <f t="shared" si="7"/>
        <v>0.0612244897959184</v>
      </c>
      <c r="AB31" s="2">
        <f t="shared" si="7"/>
        <v>-0.0149253731343284</v>
      </c>
      <c r="AC31" s="2">
        <f t="shared" si="7"/>
        <v>0.0198019801980198</v>
      </c>
      <c r="AD31" s="2">
        <f t="shared" si="7"/>
        <v>-0.0671305769475935</v>
      </c>
      <c r="AE31" s="2">
        <f t="shared" si="7"/>
        <v>-0.0828442746007936</v>
      </c>
    </row>
    <row r="32" spans="1:31">
      <c r="A32" s="15"/>
      <c r="B32" s="2">
        <f>(B11-B23)/B23</f>
        <v>-0.133333333333333</v>
      </c>
      <c r="C32" s="2">
        <f t="shared" ref="C32:AE32" si="8">(C11-C23)/C23</f>
        <v>-0.0357142857142857</v>
      </c>
      <c r="D32" s="2">
        <f t="shared" si="8"/>
        <v>0.024390243902439</v>
      </c>
      <c r="E32" s="2">
        <f t="shared" si="8"/>
        <v>0.0377358490566038</v>
      </c>
      <c r="F32" s="2">
        <f t="shared" si="8"/>
        <v>-0.0530761757683171</v>
      </c>
      <c r="G32" s="2">
        <f t="shared" si="8"/>
        <v>-0.0913854537832754</v>
      </c>
      <c r="H32" s="2">
        <f t="shared" si="8"/>
        <v>0</v>
      </c>
      <c r="I32" s="2">
        <f t="shared" si="8"/>
        <v>-0.176470588235294</v>
      </c>
      <c r="J32" s="2">
        <f t="shared" si="8"/>
        <v>-0.05</v>
      </c>
      <c r="K32" s="2">
        <f t="shared" si="8"/>
        <v>-0.0689655172413793</v>
      </c>
      <c r="L32" s="2">
        <f t="shared" si="8"/>
        <v>-0.0143611722024852</v>
      </c>
      <c r="M32" s="2">
        <f t="shared" si="8"/>
        <v>-0.0122898288471681</v>
      </c>
      <c r="N32" s="2">
        <f t="shared" si="8"/>
        <v>-0.4</v>
      </c>
      <c r="O32" s="2">
        <f t="shared" si="8"/>
        <v>-0.0714285714285714</v>
      </c>
      <c r="P32" s="2">
        <f t="shared" si="8"/>
        <v>-0.105263157894737</v>
      </c>
      <c r="Q32" s="2">
        <f t="shared" si="8"/>
        <v>0</v>
      </c>
      <c r="R32" s="2">
        <f t="shared" si="8"/>
        <v>-0.000753968663823795</v>
      </c>
      <c r="S32" s="2">
        <f t="shared" si="8"/>
        <v>0.010189228529841</v>
      </c>
      <c r="T32" s="2">
        <f t="shared" si="8"/>
        <v>-0.2</v>
      </c>
      <c r="U32" s="2">
        <f t="shared" si="8"/>
        <v>0</v>
      </c>
      <c r="V32" s="2">
        <f t="shared" si="8"/>
        <v>-0.125</v>
      </c>
      <c r="W32" s="2">
        <f t="shared" si="8"/>
        <v>-0.266666666666667</v>
      </c>
      <c r="X32" s="2">
        <f t="shared" si="8"/>
        <v>-0.00264864916504304</v>
      </c>
      <c r="Y32" s="2">
        <f t="shared" si="8"/>
        <v>-0.0561388618910073</v>
      </c>
      <c r="Z32" s="2">
        <f t="shared" si="8"/>
        <v>-0.258064516129032</v>
      </c>
      <c r="AA32" s="2">
        <f t="shared" si="8"/>
        <v>0</v>
      </c>
      <c r="AB32" s="2">
        <f t="shared" si="8"/>
        <v>0</v>
      </c>
      <c r="AC32" s="2">
        <f t="shared" si="8"/>
        <v>0.0198019801980198</v>
      </c>
      <c r="AD32" s="2">
        <f t="shared" si="8"/>
        <v>0.0730633047023774</v>
      </c>
      <c r="AE32" s="2">
        <f t="shared" si="8"/>
        <v>0.0563668622901577</v>
      </c>
    </row>
    <row r="33" spans="1:31">
      <c r="A33" s="15"/>
      <c r="B33" s="2">
        <f>(B12-B23)/B23</f>
        <v>-0.133333333333333</v>
      </c>
      <c r="C33" s="2">
        <f t="shared" ref="C33:AE33" si="9">(C12-C23)/C23</f>
        <v>-0.0357142857142857</v>
      </c>
      <c r="D33" s="2">
        <f t="shared" si="9"/>
        <v>-0.0487804878048781</v>
      </c>
      <c r="E33" s="2">
        <f t="shared" si="9"/>
        <v>-0.0188679245283019</v>
      </c>
      <c r="F33" s="2">
        <f t="shared" si="9"/>
        <v>0.0278766960819343</v>
      </c>
      <c r="G33" s="2">
        <f t="shared" si="9"/>
        <v>0.0511423181722888</v>
      </c>
      <c r="H33" s="2">
        <f t="shared" si="9"/>
        <v>-0.181818181818182</v>
      </c>
      <c r="I33" s="2">
        <f t="shared" si="9"/>
        <v>-0.0588235294117647</v>
      </c>
      <c r="J33" s="2">
        <f t="shared" si="9"/>
        <v>0.1</v>
      </c>
      <c r="K33" s="2">
        <f t="shared" si="9"/>
        <v>-0.0344827586206897</v>
      </c>
      <c r="L33" s="2">
        <f t="shared" si="9"/>
        <v>0.001961189746674</v>
      </c>
      <c r="M33" s="2">
        <f t="shared" si="9"/>
        <v>0.0274653341832708</v>
      </c>
      <c r="N33" s="2">
        <f t="shared" si="9"/>
        <v>0</v>
      </c>
      <c r="O33" s="2">
        <f t="shared" si="9"/>
        <v>0</v>
      </c>
      <c r="P33" s="2">
        <f t="shared" si="9"/>
        <v>-0.105263157894737</v>
      </c>
      <c r="Q33" s="2">
        <f t="shared" si="9"/>
        <v>-0.0571428571428571</v>
      </c>
      <c r="R33" s="2">
        <f t="shared" si="9"/>
        <v>-0.0380186116648248</v>
      </c>
      <c r="S33" s="2">
        <f t="shared" si="9"/>
        <v>-0.0524017467248908</v>
      </c>
      <c r="T33" s="2">
        <f t="shared" si="9"/>
        <v>0</v>
      </c>
      <c r="U33" s="2">
        <f t="shared" si="9"/>
        <v>0</v>
      </c>
      <c r="V33" s="2">
        <f t="shared" si="9"/>
        <v>-0.125</v>
      </c>
      <c r="W33" s="2">
        <f t="shared" si="9"/>
        <v>-0.0666666666666667</v>
      </c>
      <c r="X33" s="2">
        <f t="shared" si="9"/>
        <v>0.171491873336139</v>
      </c>
      <c r="Y33" s="2">
        <f t="shared" si="9"/>
        <v>0.199846682454724</v>
      </c>
      <c r="Z33" s="2">
        <f t="shared" si="9"/>
        <v>-0.193548387096774</v>
      </c>
      <c r="AA33" s="2">
        <f t="shared" si="9"/>
        <v>0.0408163265306122</v>
      </c>
      <c r="AB33" s="2">
        <f t="shared" si="9"/>
        <v>-0.0597014925373134</v>
      </c>
      <c r="AC33" s="2">
        <f t="shared" si="9"/>
        <v>0.0099009900990099</v>
      </c>
      <c r="AD33" s="2">
        <f t="shared" si="9"/>
        <v>-0.0305130274204347</v>
      </c>
      <c r="AE33" s="2">
        <f t="shared" si="9"/>
        <v>-0.0446294527091602</v>
      </c>
    </row>
    <row r="34" spans="1:31">
      <c r="A34" s="15"/>
      <c r="B34" s="2">
        <f>(B13-B23)/B23</f>
        <v>-0.266666666666667</v>
      </c>
      <c r="C34" s="2">
        <f t="shared" ref="C34:AE34" si="10">(C13-C23)/C23</f>
        <v>-0.107142857142857</v>
      </c>
      <c r="D34" s="2">
        <f t="shared" si="10"/>
        <v>-0.0731707317073171</v>
      </c>
      <c r="E34" s="2">
        <f t="shared" si="10"/>
        <v>0.0188679245283019</v>
      </c>
      <c r="F34" s="2">
        <f t="shared" si="10"/>
        <v>-0.0355519557966951</v>
      </c>
      <c r="G34" s="2">
        <f t="shared" si="10"/>
        <v>-0.0578495074407902</v>
      </c>
      <c r="H34" s="2">
        <f t="shared" si="10"/>
        <v>-0.363636363636364</v>
      </c>
      <c r="I34" s="2">
        <f t="shared" si="10"/>
        <v>-0.0588235294117647</v>
      </c>
      <c r="J34" s="2">
        <f t="shared" si="10"/>
        <v>0.1</v>
      </c>
      <c r="K34" s="2">
        <f t="shared" si="10"/>
        <v>-0.0344827586206897</v>
      </c>
      <c r="L34" s="2">
        <f t="shared" si="10"/>
        <v>0.0577950029819422</v>
      </c>
      <c r="M34" s="2">
        <f t="shared" si="10"/>
        <v>0.152899727882764</v>
      </c>
      <c r="N34" s="2">
        <f t="shared" si="10"/>
        <v>-0.2</v>
      </c>
      <c r="O34" s="2">
        <f t="shared" si="10"/>
        <v>-0.0714285714285714</v>
      </c>
      <c r="P34" s="2">
        <f t="shared" si="10"/>
        <v>0</v>
      </c>
      <c r="Q34" s="2">
        <f t="shared" si="10"/>
        <v>-0.0285714285714286</v>
      </c>
      <c r="R34" s="2">
        <f t="shared" si="10"/>
        <v>-0.00248912942440313</v>
      </c>
      <c r="S34" s="2">
        <f t="shared" si="10"/>
        <v>0.0189228529839895</v>
      </c>
      <c r="T34" s="2">
        <f t="shared" si="10"/>
        <v>-0.2</v>
      </c>
      <c r="U34" s="2">
        <f t="shared" si="10"/>
        <v>0.166666666666667</v>
      </c>
      <c r="V34" s="2">
        <f t="shared" si="10"/>
        <v>0.125</v>
      </c>
      <c r="W34" s="2">
        <f t="shared" si="10"/>
        <v>-0.333333333333333</v>
      </c>
      <c r="X34" s="2">
        <f t="shared" si="10"/>
        <v>0.0492854140395124</v>
      </c>
      <c r="Y34" s="2">
        <f t="shared" si="10"/>
        <v>0.0841740701701552</v>
      </c>
      <c r="Z34" s="2">
        <f t="shared" si="10"/>
        <v>-0.193548387096774</v>
      </c>
      <c r="AA34" s="2">
        <f t="shared" si="10"/>
        <v>-0.0204081632653061</v>
      </c>
      <c r="AB34" s="2">
        <f t="shared" si="10"/>
        <v>-0.0298507462686567</v>
      </c>
      <c r="AC34" s="2">
        <f t="shared" si="10"/>
        <v>-0.0396039603960396</v>
      </c>
      <c r="AD34" s="2">
        <f t="shared" si="10"/>
        <v>0.112989209768414</v>
      </c>
      <c r="AE34" s="2">
        <f t="shared" si="10"/>
        <v>0.196032937536965</v>
      </c>
    </row>
    <row r="35" spans="1:31">
      <c r="A35" s="15"/>
      <c r="B35" s="2">
        <f>(B14-B23)/B23</f>
        <v>-0.0666666666666667</v>
      </c>
      <c r="C35" s="2">
        <f t="shared" ref="C35:AE35" si="11">(C14-C23)/C23</f>
        <v>-0.0357142857142857</v>
      </c>
      <c r="D35" s="2">
        <f t="shared" si="11"/>
        <v>-0.0975609756097561</v>
      </c>
      <c r="E35" s="2">
        <f t="shared" si="11"/>
        <v>0</v>
      </c>
      <c r="F35" s="2">
        <f t="shared" si="11"/>
        <v>-0.0575424428472952</v>
      </c>
      <c r="G35" s="2">
        <f t="shared" si="11"/>
        <v>-0.0809054705512481</v>
      </c>
      <c r="H35" s="2">
        <f t="shared" si="11"/>
        <v>-0.363636363636364</v>
      </c>
      <c r="I35" s="2">
        <f t="shared" si="11"/>
        <v>-0.0588235294117647</v>
      </c>
      <c r="J35" s="2">
        <f t="shared" si="11"/>
        <v>0.1</v>
      </c>
      <c r="K35" s="2">
        <f t="shared" si="11"/>
        <v>0</v>
      </c>
      <c r="L35" s="2">
        <f t="shared" si="11"/>
        <v>-0.0340784487290999</v>
      </c>
      <c r="M35" s="2">
        <f t="shared" si="11"/>
        <v>-0.023256770372807</v>
      </c>
      <c r="N35" s="2">
        <f t="shared" si="11"/>
        <v>-0.2</v>
      </c>
      <c r="O35" s="2">
        <f t="shared" si="11"/>
        <v>-0.0714285714285714</v>
      </c>
      <c r="P35" s="2">
        <f t="shared" si="11"/>
        <v>0</v>
      </c>
      <c r="Q35" s="2">
        <f t="shared" si="11"/>
        <v>0</v>
      </c>
      <c r="R35" s="2">
        <f t="shared" si="11"/>
        <v>0.000413133514422373</v>
      </c>
      <c r="S35" s="2">
        <f t="shared" si="11"/>
        <v>0.0131004366812227</v>
      </c>
      <c r="T35" s="2">
        <f t="shared" si="11"/>
        <v>-0.2</v>
      </c>
      <c r="U35" s="2">
        <f t="shared" si="11"/>
        <v>0</v>
      </c>
      <c r="V35" s="2">
        <f t="shared" si="11"/>
        <v>0</v>
      </c>
      <c r="W35" s="2">
        <f t="shared" si="11"/>
        <v>-0.266666666666667</v>
      </c>
      <c r="X35" s="2">
        <f t="shared" si="11"/>
        <v>0.148524176188115</v>
      </c>
      <c r="Y35" s="2">
        <f t="shared" si="11"/>
        <v>0.216958015632914</v>
      </c>
      <c r="Z35" s="2">
        <f t="shared" si="11"/>
        <v>-0.225806451612903</v>
      </c>
      <c r="AA35" s="2">
        <f t="shared" si="11"/>
        <v>0.0408163265306122</v>
      </c>
      <c r="AB35" s="2">
        <f t="shared" si="11"/>
        <v>-0.0447761194029851</v>
      </c>
      <c r="AC35" s="2">
        <f t="shared" si="11"/>
        <v>-0.0198019801980198</v>
      </c>
      <c r="AD35" s="2">
        <f t="shared" si="11"/>
        <v>-0.0321571393997329</v>
      </c>
      <c r="AE35" s="2">
        <f t="shared" si="11"/>
        <v>-0.0928529184295546</v>
      </c>
    </row>
    <row r="36" spans="1:31">
      <c r="A36" s="15"/>
      <c r="B36" s="2">
        <f>(B15-B23)/B23</f>
        <v>-0.0666666666666667</v>
      </c>
      <c r="C36" s="2">
        <f t="shared" ref="C36:AE36" si="12">(C15-C23)/C23</f>
        <v>-0.0357142857142857</v>
      </c>
      <c r="D36" s="2">
        <f t="shared" si="12"/>
        <v>-0.0487804878048781</v>
      </c>
      <c r="E36" s="2">
        <f t="shared" si="12"/>
        <v>0.0566037735849057</v>
      </c>
      <c r="F36" s="2">
        <f t="shared" si="12"/>
        <v>-0.0353225226024697</v>
      </c>
      <c r="G36" s="2">
        <f t="shared" si="12"/>
        <v>-0.0463215258855587</v>
      </c>
      <c r="H36" s="2">
        <f t="shared" si="12"/>
        <v>-0.454545454545455</v>
      </c>
      <c r="I36" s="2">
        <f t="shared" si="12"/>
        <v>-0.117647058823529</v>
      </c>
      <c r="J36" s="2">
        <f t="shared" si="12"/>
        <v>0.1</v>
      </c>
      <c r="K36" s="2">
        <f t="shared" si="12"/>
        <v>-0.0689655172413793</v>
      </c>
      <c r="L36" s="2">
        <f t="shared" si="12"/>
        <v>0.0644766049942836</v>
      </c>
      <c r="M36" s="2">
        <f t="shared" si="12"/>
        <v>0.113144564852323</v>
      </c>
      <c r="N36" s="2">
        <f t="shared" si="12"/>
        <v>-0.2</v>
      </c>
      <c r="O36" s="2">
        <f t="shared" si="12"/>
        <v>0</v>
      </c>
      <c r="P36" s="2">
        <f t="shared" si="12"/>
        <v>0</v>
      </c>
      <c r="Q36" s="2">
        <f t="shared" si="12"/>
        <v>-0.0571428571428571</v>
      </c>
      <c r="R36" s="2">
        <f t="shared" si="12"/>
        <v>-0.0134371675566263</v>
      </c>
      <c r="S36" s="2">
        <f t="shared" si="12"/>
        <v>-0.010189228529841</v>
      </c>
      <c r="T36" s="2">
        <f t="shared" si="12"/>
        <v>0</v>
      </c>
      <c r="U36" s="2">
        <f t="shared" si="12"/>
        <v>0</v>
      </c>
      <c r="V36" s="2">
        <f t="shared" si="12"/>
        <v>0</v>
      </c>
      <c r="W36" s="2">
        <f t="shared" si="12"/>
        <v>-0.133333333333333</v>
      </c>
      <c r="X36" s="2">
        <f t="shared" si="12"/>
        <v>0.0775512056249791</v>
      </c>
      <c r="Y36" s="2">
        <f t="shared" si="12"/>
        <v>0.0513203104680289</v>
      </c>
      <c r="Z36" s="2">
        <f t="shared" si="12"/>
        <v>-0.225806451612903</v>
      </c>
      <c r="AA36" s="2">
        <f t="shared" si="12"/>
        <v>0.0408163265306122</v>
      </c>
      <c r="AB36" s="2">
        <f t="shared" si="12"/>
        <v>0.0149253731343284</v>
      </c>
      <c r="AC36" s="2">
        <f t="shared" si="12"/>
        <v>0</v>
      </c>
      <c r="AD36" s="2">
        <f t="shared" si="12"/>
        <v>-0.0727042548761414</v>
      </c>
      <c r="AE36" s="2">
        <f t="shared" si="12"/>
        <v>-0.0923979800736984</v>
      </c>
    </row>
    <row r="37" spans="1:31">
      <c r="A37" s="15"/>
      <c r="B37" s="2">
        <f>(B16-B23)/B23</f>
        <v>-0.333333333333333</v>
      </c>
      <c r="C37" s="2">
        <f t="shared" ref="C37:AE37" si="13">(C16-C23)/C23</f>
        <v>-0.0714285714285714</v>
      </c>
      <c r="D37" s="2">
        <f t="shared" si="13"/>
        <v>-0.024390243902439</v>
      </c>
      <c r="E37" s="2">
        <f t="shared" si="13"/>
        <v>0.0377358490566038</v>
      </c>
      <c r="F37" s="2">
        <f t="shared" si="13"/>
        <v>-0.0817011118106002</v>
      </c>
      <c r="G37" s="2">
        <f t="shared" si="13"/>
        <v>-0.117585411863341</v>
      </c>
      <c r="H37" s="2">
        <f t="shared" si="13"/>
        <v>-0.181818181818182</v>
      </c>
      <c r="I37" s="2">
        <f t="shared" si="13"/>
        <v>0</v>
      </c>
      <c r="J37" s="2">
        <f t="shared" si="13"/>
        <v>0.1</v>
      </c>
      <c r="K37" s="2">
        <f t="shared" si="13"/>
        <v>0</v>
      </c>
      <c r="L37" s="2">
        <f t="shared" si="13"/>
        <v>0.0100554407778227</v>
      </c>
      <c r="M37" s="2">
        <f t="shared" si="13"/>
        <v>0.0555681218427211</v>
      </c>
      <c r="N37" s="2">
        <f t="shared" si="13"/>
        <v>0</v>
      </c>
      <c r="O37" s="2">
        <f t="shared" si="13"/>
        <v>0</v>
      </c>
      <c r="P37" s="2">
        <f t="shared" si="13"/>
        <v>-0.105263157894737</v>
      </c>
      <c r="Q37" s="2">
        <f t="shared" si="13"/>
        <v>-0.0571428571428571</v>
      </c>
      <c r="R37" s="2">
        <f t="shared" si="13"/>
        <v>-0.000206566757211926</v>
      </c>
      <c r="S37" s="2">
        <f t="shared" si="13"/>
        <v>0.0611353711790393</v>
      </c>
      <c r="T37" s="2">
        <f t="shared" si="13"/>
        <v>0</v>
      </c>
      <c r="U37" s="2">
        <f t="shared" si="13"/>
        <v>0</v>
      </c>
      <c r="V37" s="2">
        <f t="shared" si="13"/>
        <v>-0.125</v>
      </c>
      <c r="W37" s="2">
        <f t="shared" si="13"/>
        <v>-0.133333333333333</v>
      </c>
      <c r="X37" s="2">
        <f t="shared" si="13"/>
        <v>0.0182889742315973</v>
      </c>
      <c r="Y37" s="2">
        <f t="shared" si="13"/>
        <v>-0.0369741687314334</v>
      </c>
      <c r="Z37" s="2">
        <f t="shared" si="13"/>
        <v>-0.225806451612903</v>
      </c>
      <c r="AA37" s="2">
        <f t="shared" si="13"/>
        <v>0.0816326530612245</v>
      </c>
      <c r="AB37" s="2">
        <f t="shared" si="13"/>
        <v>0.0298507462686567</v>
      </c>
      <c r="AC37" s="2">
        <f t="shared" si="13"/>
        <v>-0.0495049504950495</v>
      </c>
      <c r="AD37" s="2">
        <f t="shared" si="13"/>
        <v>-0.0221729920916416</v>
      </c>
      <c r="AE37" s="2">
        <f t="shared" si="13"/>
        <v>-0.107865884172696</v>
      </c>
    </row>
    <row r="38" spans="1:31">
      <c r="A38" s="15"/>
      <c r="B38" s="2">
        <f>(B17-B23)/B23</f>
        <v>-0.133333333333333</v>
      </c>
      <c r="C38" s="2">
        <f t="shared" ref="C38:AE38" si="14">(C17-C23)/C23</f>
        <v>0</v>
      </c>
      <c r="D38" s="2">
        <f t="shared" si="14"/>
        <v>-0.0487804878048781</v>
      </c>
      <c r="E38" s="2">
        <f t="shared" si="14"/>
        <v>0</v>
      </c>
      <c r="F38" s="2">
        <f t="shared" si="14"/>
        <v>-0.0356708078906447</v>
      </c>
      <c r="G38" s="2">
        <f t="shared" si="14"/>
        <v>-0.0337455460071281</v>
      </c>
      <c r="H38" s="2">
        <f t="shared" si="14"/>
        <v>-0.272727272727273</v>
      </c>
      <c r="I38" s="2">
        <f t="shared" si="14"/>
        <v>0</v>
      </c>
      <c r="J38" s="2">
        <f t="shared" si="14"/>
        <v>0.1</v>
      </c>
      <c r="K38" s="2">
        <f t="shared" si="14"/>
        <v>0.0344827586206897</v>
      </c>
      <c r="L38" s="2">
        <f t="shared" si="14"/>
        <v>-0.0260212227730418</v>
      </c>
      <c r="M38" s="2">
        <f t="shared" si="14"/>
        <v>-0.0122898288471681</v>
      </c>
      <c r="N38" s="2">
        <f t="shared" si="14"/>
        <v>-0.4</v>
      </c>
      <c r="O38" s="2">
        <f t="shared" si="14"/>
        <v>-0.0714285714285714</v>
      </c>
      <c r="P38" s="2">
        <f t="shared" si="14"/>
        <v>-0.0526315789473684</v>
      </c>
      <c r="Q38" s="2">
        <f t="shared" si="14"/>
        <v>0</v>
      </c>
      <c r="R38" s="2">
        <f t="shared" si="14"/>
        <v>-0.0167319073341542</v>
      </c>
      <c r="S38" s="2">
        <f t="shared" si="14"/>
        <v>-0.00291120815138167</v>
      </c>
      <c r="T38" s="2">
        <f t="shared" si="14"/>
        <v>-0.2</v>
      </c>
      <c r="U38" s="2">
        <f t="shared" si="14"/>
        <v>0</v>
      </c>
      <c r="V38" s="2">
        <f t="shared" si="14"/>
        <v>0</v>
      </c>
      <c r="W38" s="2">
        <f t="shared" si="14"/>
        <v>-0.0666666666666667</v>
      </c>
      <c r="X38" s="2">
        <f t="shared" si="14"/>
        <v>-0.0189569083011707</v>
      </c>
      <c r="Y38" s="2">
        <f t="shared" si="14"/>
        <v>-0.0965216081915374</v>
      </c>
      <c r="Z38" s="2">
        <f t="shared" si="14"/>
        <v>-0.193548387096774</v>
      </c>
      <c r="AA38" s="2">
        <f t="shared" si="14"/>
        <v>0.0816326530612245</v>
      </c>
      <c r="AB38" s="2">
        <f t="shared" si="14"/>
        <v>-0.0149253731343284</v>
      </c>
      <c r="AC38" s="2">
        <f t="shared" si="14"/>
        <v>-0.0198019801980198</v>
      </c>
      <c r="AD38" s="2">
        <f t="shared" si="14"/>
        <v>-0.0519009462832127</v>
      </c>
      <c r="AE38" s="2">
        <f t="shared" si="14"/>
        <v>-0.0792047677539675</v>
      </c>
    </row>
    <row r="39" spans="1:31">
      <c r="A39" s="15"/>
      <c r="B39" s="2">
        <f>(B18-B23)/B23</f>
        <v>-0.266666666666667</v>
      </c>
      <c r="C39" s="2">
        <f t="shared" ref="C39:AE39" si="15">(C18-C23)/C23</f>
        <v>-0.0357142857142857</v>
      </c>
      <c r="D39" s="2">
        <f t="shared" si="15"/>
        <v>-0.0731707317073171</v>
      </c>
      <c r="E39" s="2">
        <f t="shared" si="15"/>
        <v>0.0188679245283019</v>
      </c>
      <c r="F39" s="2">
        <f t="shared" si="15"/>
        <v>-0.0398521774648865</v>
      </c>
      <c r="G39" s="2">
        <f t="shared" si="15"/>
        <v>-0.08509746384406</v>
      </c>
      <c r="H39" s="2">
        <f t="shared" si="15"/>
        <v>-0.363636363636364</v>
      </c>
      <c r="I39" s="2">
        <f t="shared" si="15"/>
        <v>-0.117647058823529</v>
      </c>
      <c r="J39" s="2">
        <f t="shared" si="15"/>
        <v>0</v>
      </c>
      <c r="K39" s="2">
        <f t="shared" si="15"/>
        <v>0.0344827586206897</v>
      </c>
      <c r="L39" s="2">
        <f t="shared" si="15"/>
        <v>-0.0131279523937286</v>
      </c>
      <c r="M39" s="2">
        <f t="shared" si="15"/>
        <v>-0.00337918885758659</v>
      </c>
      <c r="N39" s="2">
        <f t="shared" si="15"/>
        <v>0</v>
      </c>
      <c r="O39" s="2">
        <f t="shared" si="15"/>
        <v>-0.142857142857143</v>
      </c>
      <c r="P39" s="2">
        <f t="shared" si="15"/>
        <v>-0.0526315789473684</v>
      </c>
      <c r="Q39" s="2">
        <f t="shared" si="15"/>
        <v>-0.0571428571428571</v>
      </c>
      <c r="R39" s="2">
        <f t="shared" si="15"/>
        <v>-0.000950207083174438</v>
      </c>
      <c r="S39" s="2">
        <f t="shared" si="15"/>
        <v>0.0407569141193607</v>
      </c>
      <c r="T39" s="2">
        <f t="shared" si="15"/>
        <v>-0.4</v>
      </c>
      <c r="U39" s="2">
        <f t="shared" si="15"/>
        <v>-0.5</v>
      </c>
      <c r="V39" s="2">
        <f t="shared" si="15"/>
        <v>-0.375</v>
      </c>
      <c r="W39" s="2">
        <f t="shared" si="15"/>
        <v>-0.266666666666667</v>
      </c>
      <c r="X39" s="2">
        <f t="shared" si="15"/>
        <v>0.0501611321283449</v>
      </c>
      <c r="Y39" s="2">
        <f t="shared" si="15"/>
        <v>0.0732228169361135</v>
      </c>
      <c r="Z39" s="2">
        <f t="shared" si="15"/>
        <v>-0.0967741935483871</v>
      </c>
      <c r="AA39" s="2">
        <f t="shared" si="15"/>
        <v>0.0816326530612245</v>
      </c>
      <c r="AB39" s="2">
        <f t="shared" si="15"/>
        <v>0</v>
      </c>
      <c r="AC39" s="2">
        <f t="shared" si="15"/>
        <v>0</v>
      </c>
      <c r="AD39" s="2">
        <f t="shared" si="15"/>
        <v>-0.0938210544297887</v>
      </c>
      <c r="AE39" s="2">
        <f t="shared" si="15"/>
        <v>-0.126973295118511</v>
      </c>
    </row>
    <row r="40" spans="1:31">
      <c r="A40" s="15"/>
      <c r="B40" s="2">
        <f>(B19-B23)/B23</f>
        <v>-0.133333333333333</v>
      </c>
      <c r="C40" s="2">
        <f t="shared" ref="C40:AE40" si="16">(C19-C23)/C23</f>
        <v>0.0357142857142857</v>
      </c>
      <c r="D40" s="2">
        <f t="shared" si="16"/>
        <v>-0.0487804878048781</v>
      </c>
      <c r="E40" s="2">
        <f t="shared" si="16"/>
        <v>0.0566037735849057</v>
      </c>
      <c r="F40" s="2">
        <f t="shared" si="16"/>
        <v>-0.0539327448945296</v>
      </c>
      <c r="G40" s="2">
        <f t="shared" si="16"/>
        <v>-0.0672814923496132</v>
      </c>
      <c r="H40" s="2">
        <f t="shared" si="16"/>
        <v>-0.454545454545455</v>
      </c>
      <c r="I40" s="2">
        <f t="shared" si="16"/>
        <v>-0.117647058823529</v>
      </c>
      <c r="J40" s="2">
        <f t="shared" si="16"/>
        <v>0.05</v>
      </c>
      <c r="K40" s="2">
        <f t="shared" si="16"/>
        <v>0.172413793103448</v>
      </c>
      <c r="L40" s="2">
        <f t="shared" si="16"/>
        <v>0.00750640676203176</v>
      </c>
      <c r="M40" s="2">
        <f t="shared" si="16"/>
        <v>0.0583098572241303</v>
      </c>
      <c r="N40" s="2">
        <f t="shared" si="16"/>
        <v>-0.2</v>
      </c>
      <c r="O40" s="2">
        <f t="shared" si="16"/>
        <v>0</v>
      </c>
      <c r="P40" s="2">
        <f t="shared" si="16"/>
        <v>0</v>
      </c>
      <c r="Q40" s="2">
        <f t="shared" si="16"/>
        <v>0</v>
      </c>
      <c r="R40" s="2">
        <f t="shared" si="16"/>
        <v>-0.0023032193429125</v>
      </c>
      <c r="S40" s="2">
        <f t="shared" si="16"/>
        <v>0.0218340611353712</v>
      </c>
      <c r="T40" s="2">
        <f t="shared" si="16"/>
        <v>-0.2</v>
      </c>
      <c r="U40" s="2">
        <f t="shared" si="16"/>
        <v>-0.166666666666667</v>
      </c>
      <c r="V40" s="2">
        <f t="shared" si="16"/>
        <v>-0.125</v>
      </c>
      <c r="W40" s="2">
        <f t="shared" si="16"/>
        <v>-0.2</v>
      </c>
      <c r="X40" s="2">
        <f t="shared" si="16"/>
        <v>0.0162708420905139</v>
      </c>
      <c r="Y40" s="2">
        <f t="shared" si="16"/>
        <v>-0.0287607288059027</v>
      </c>
      <c r="Z40" s="2">
        <f t="shared" si="16"/>
        <v>-0.193548387096774</v>
      </c>
      <c r="AA40" s="2">
        <f t="shared" si="16"/>
        <v>0.0816326530612245</v>
      </c>
      <c r="AB40" s="2">
        <f t="shared" si="16"/>
        <v>0.0149253731343284</v>
      </c>
      <c r="AC40" s="2">
        <f t="shared" si="16"/>
        <v>0.0396039603960396</v>
      </c>
      <c r="AD40" s="2">
        <f t="shared" si="16"/>
        <v>-0.0614647738501408</v>
      </c>
      <c r="AE40" s="2">
        <f t="shared" si="16"/>
        <v>-0.0227924116282228</v>
      </c>
    </row>
    <row r="41" spans="1:31">
      <c r="A41" s="15"/>
      <c r="B41" s="2">
        <f>(B20-B23)/B23</f>
        <v>-0.333333333333333</v>
      </c>
      <c r="C41" s="2">
        <f t="shared" ref="C41:AE41" si="17">(C20-C23)/C23</f>
        <v>0.0714285714285714</v>
      </c>
      <c r="D41" s="2">
        <f t="shared" si="17"/>
        <v>-0.0487804878048781</v>
      </c>
      <c r="E41" s="2">
        <f t="shared" si="17"/>
        <v>0.0188679245283019</v>
      </c>
      <c r="F41" s="2">
        <f t="shared" si="17"/>
        <v>-0.0244748016323803</v>
      </c>
      <c r="G41" s="2">
        <f t="shared" si="17"/>
        <v>-0.0400335359463435</v>
      </c>
      <c r="H41" s="2">
        <f t="shared" si="17"/>
        <v>-0.363636363636364</v>
      </c>
      <c r="I41" s="2">
        <f t="shared" si="17"/>
        <v>-0.0588235294117647</v>
      </c>
      <c r="J41" s="2">
        <f t="shared" si="17"/>
        <v>0.05</v>
      </c>
      <c r="K41" s="2">
        <f t="shared" si="17"/>
        <v>0.103448275862069</v>
      </c>
      <c r="L41" s="2">
        <f t="shared" si="17"/>
        <v>0.0330537085739249</v>
      </c>
      <c r="M41" s="2">
        <f t="shared" si="17"/>
        <v>0.0603661587601876</v>
      </c>
      <c r="N41" s="2">
        <f t="shared" si="17"/>
        <v>-0.2</v>
      </c>
      <c r="O41" s="2">
        <f t="shared" si="17"/>
        <v>-0.0714285714285714</v>
      </c>
      <c r="P41" s="2">
        <f t="shared" si="17"/>
        <v>0</v>
      </c>
      <c r="Q41" s="2">
        <f t="shared" si="17"/>
        <v>-0.0285714285714286</v>
      </c>
      <c r="R41" s="2">
        <f t="shared" si="17"/>
        <v>-0.00444118528005419</v>
      </c>
      <c r="S41" s="2">
        <f t="shared" si="17"/>
        <v>0.00436681222707424</v>
      </c>
      <c r="T41" s="2">
        <f t="shared" si="17"/>
        <v>0</v>
      </c>
      <c r="U41" s="2">
        <f t="shared" si="17"/>
        <v>0.333333333333333</v>
      </c>
      <c r="V41" s="2">
        <f t="shared" si="17"/>
        <v>0</v>
      </c>
      <c r="W41" s="2">
        <f t="shared" si="17"/>
        <v>-0.333333333333333</v>
      </c>
      <c r="X41" s="2">
        <f t="shared" si="17"/>
        <v>0.0620947813570724</v>
      </c>
      <c r="Y41" s="2">
        <f t="shared" si="17"/>
        <v>0.0143598308031382</v>
      </c>
      <c r="Z41" s="2">
        <f t="shared" si="17"/>
        <v>-0.225806451612903</v>
      </c>
      <c r="AA41" s="2">
        <f t="shared" si="17"/>
        <v>0.0612244897959184</v>
      </c>
      <c r="AB41" s="2">
        <f t="shared" si="17"/>
        <v>0.0447761194029851</v>
      </c>
      <c r="AC41" s="2">
        <f t="shared" si="17"/>
        <v>-0.0297029702970297</v>
      </c>
      <c r="AD41" s="2">
        <f t="shared" si="17"/>
        <v>-0.0328062239755513</v>
      </c>
      <c r="AE41" s="2">
        <f t="shared" si="17"/>
        <v>-0.11878440471316</v>
      </c>
    </row>
    <row r="42" spans="1:31">
      <c r="A42" s="15"/>
      <c r="B42" s="2">
        <f>(B21-B23)/B23</f>
        <v>-0.266666666666667</v>
      </c>
      <c r="C42" s="2">
        <f t="shared" ref="C42:AE42" si="18">(C21-C23)/C23</f>
        <v>0.0357142857142857</v>
      </c>
      <c r="D42" s="2">
        <f t="shared" si="18"/>
        <v>-0.024390243902439</v>
      </c>
      <c r="E42" s="2">
        <f t="shared" si="18"/>
        <v>0.0188679245283019</v>
      </c>
      <c r="F42" s="2">
        <f t="shared" si="18"/>
        <v>-0.0627905620928386</v>
      </c>
      <c r="G42" s="2">
        <f t="shared" si="18"/>
        <v>-0.0882414588136676</v>
      </c>
      <c r="H42" s="2">
        <f t="shared" si="18"/>
        <v>-0.272727272727273</v>
      </c>
      <c r="I42" s="2">
        <f t="shared" si="18"/>
        <v>-0.117647058823529</v>
      </c>
      <c r="J42" s="2">
        <f t="shared" si="18"/>
        <v>0.1</v>
      </c>
      <c r="K42" s="2">
        <f t="shared" si="18"/>
        <v>0.0344827586206897</v>
      </c>
      <c r="L42" s="2">
        <f t="shared" si="18"/>
        <v>0.03777867777191</v>
      </c>
      <c r="M42" s="2">
        <f t="shared" si="18"/>
        <v>0.091896115646399</v>
      </c>
      <c r="N42" s="2">
        <f t="shared" si="18"/>
        <v>-0.2</v>
      </c>
      <c r="O42" s="2">
        <f t="shared" si="18"/>
        <v>-0.0714285714285714</v>
      </c>
      <c r="P42" s="2">
        <f t="shared" si="18"/>
        <v>-0.0526315789473684</v>
      </c>
      <c r="Q42" s="2">
        <f t="shared" si="18"/>
        <v>0</v>
      </c>
      <c r="R42" s="2">
        <f t="shared" si="18"/>
        <v>-0.0192830067857185</v>
      </c>
      <c r="S42" s="2">
        <f t="shared" si="18"/>
        <v>0.0174672489082969</v>
      </c>
      <c r="T42" s="2">
        <f t="shared" si="18"/>
        <v>-0.2</v>
      </c>
      <c r="U42" s="2">
        <f t="shared" si="18"/>
        <v>-0.166666666666667</v>
      </c>
      <c r="V42" s="2">
        <f t="shared" si="18"/>
        <v>-0.125</v>
      </c>
      <c r="W42" s="2">
        <f t="shared" si="18"/>
        <v>-0.133333333333333</v>
      </c>
      <c r="X42" s="2">
        <f t="shared" si="18"/>
        <v>-0.0283828193664259</v>
      </c>
      <c r="Y42" s="2">
        <f t="shared" si="18"/>
        <v>-0.114317394696856</v>
      </c>
      <c r="Z42" s="2">
        <f t="shared" si="18"/>
        <v>-0.258064516129032</v>
      </c>
      <c r="AA42" s="2">
        <f t="shared" si="18"/>
        <v>0.0204081632653061</v>
      </c>
      <c r="AB42" s="2">
        <f t="shared" si="18"/>
        <v>-0.0298507462686567</v>
      </c>
      <c r="AC42" s="2">
        <f t="shared" si="18"/>
        <v>-0.0297029702970297</v>
      </c>
      <c r="AD42" s="2">
        <f t="shared" si="18"/>
        <v>-0.0812596096518188</v>
      </c>
      <c r="AE42" s="2">
        <f t="shared" si="18"/>
        <v>-0.0660115554342366</v>
      </c>
    </row>
    <row r="43" spans="1:31">
      <c r="A43" s="15"/>
      <c r="B43" s="2">
        <f>(B22-B23)/B23</f>
        <v>-0.133333333333333</v>
      </c>
      <c r="C43" s="2">
        <f t="shared" ref="C43:AE43" si="19">(C22-C23)/C23</f>
        <v>0.0714285714285714</v>
      </c>
      <c r="D43" s="2">
        <f t="shared" si="19"/>
        <v>0</v>
      </c>
      <c r="E43" s="2">
        <f t="shared" si="19"/>
        <v>0.0754716981132075</v>
      </c>
      <c r="F43" s="2">
        <f t="shared" si="19"/>
        <v>0.0379338073627454</v>
      </c>
      <c r="G43" s="2">
        <f t="shared" si="19"/>
        <v>0.023894361769019</v>
      </c>
      <c r="H43" s="2">
        <f t="shared" si="19"/>
        <v>-0.363636363636364</v>
      </c>
      <c r="I43" s="2">
        <f t="shared" si="19"/>
        <v>0.0588235294117647</v>
      </c>
      <c r="J43" s="2">
        <f t="shared" si="19"/>
        <v>0.1</v>
      </c>
      <c r="K43" s="2">
        <f t="shared" si="19"/>
        <v>0</v>
      </c>
      <c r="L43" s="2">
        <f t="shared" si="19"/>
        <v>0.0445286337690324</v>
      </c>
      <c r="M43" s="2">
        <f t="shared" si="19"/>
        <v>0.0500846510799005</v>
      </c>
      <c r="N43" s="2">
        <f t="shared" si="19"/>
        <v>-0.2</v>
      </c>
      <c r="O43" s="2">
        <f t="shared" si="19"/>
        <v>0</v>
      </c>
      <c r="P43" s="2">
        <f t="shared" si="19"/>
        <v>0</v>
      </c>
      <c r="Q43" s="2">
        <f t="shared" si="19"/>
        <v>-0.0285714285714286</v>
      </c>
      <c r="R43" s="2">
        <f t="shared" si="19"/>
        <v>0.00654816620361161</v>
      </c>
      <c r="S43" s="2">
        <f t="shared" si="19"/>
        <v>0.0349344978165939</v>
      </c>
      <c r="T43" s="2">
        <f t="shared" si="19"/>
        <v>-0.6</v>
      </c>
      <c r="U43" s="2">
        <f t="shared" si="19"/>
        <v>-0.166666666666667</v>
      </c>
      <c r="V43" s="2">
        <f t="shared" si="19"/>
        <v>0</v>
      </c>
      <c r="W43" s="2">
        <f t="shared" si="19"/>
        <v>-0.133333333333333</v>
      </c>
      <c r="X43" s="2">
        <f t="shared" si="19"/>
        <v>0.157353006738251</v>
      </c>
      <c r="Y43" s="2">
        <f t="shared" si="19"/>
        <v>0.16904628273398</v>
      </c>
      <c r="Z43" s="2">
        <f t="shared" si="19"/>
        <v>-0.290322580645161</v>
      </c>
      <c r="AA43" s="2">
        <f t="shared" si="19"/>
        <v>0.0204081632653061</v>
      </c>
      <c r="AB43" s="2">
        <f t="shared" si="19"/>
        <v>0</v>
      </c>
      <c r="AC43" s="2">
        <f t="shared" si="19"/>
        <v>-0.0396039603960396</v>
      </c>
      <c r="AD43" s="2">
        <f t="shared" si="19"/>
        <v>0.0610115693787106</v>
      </c>
      <c r="AE43" s="2">
        <f t="shared" si="19"/>
        <v>0.142350211546334</v>
      </c>
    </row>
    <row r="47" spans="1:1">
      <c r="A47" s="37"/>
    </row>
    <row r="48" spans="1:1">
      <c r="A48" s="37"/>
    </row>
    <row r="49" spans="1:1">
      <c r="A49" s="37"/>
    </row>
    <row r="50" spans="1:1">
      <c r="A50" s="37"/>
    </row>
    <row r="51" spans="1:7">
      <c r="A51" s="38" t="s">
        <v>3</v>
      </c>
      <c r="B51">
        <v>-0.133333333333333</v>
      </c>
      <c r="C51">
        <v>-0.454545454545455</v>
      </c>
      <c r="D51">
        <v>-0.4</v>
      </c>
      <c r="E51">
        <v>0</v>
      </c>
      <c r="F51">
        <v>-0.129032258064516</v>
      </c>
      <c r="G51">
        <f>AVERAGE(B51:F51)</f>
        <v>-0.223382209188661</v>
      </c>
    </row>
    <row r="52" spans="1:7">
      <c r="A52" s="38"/>
      <c r="B52">
        <v>-0.333333333333333</v>
      </c>
      <c r="C52">
        <v>-0.272727272727273</v>
      </c>
      <c r="D52">
        <v>0</v>
      </c>
      <c r="E52">
        <v>-0.4</v>
      </c>
      <c r="F52">
        <v>-0.290322580645161</v>
      </c>
      <c r="G52">
        <f t="shared" ref="G52:G72" si="20">AVERAGE(B52:F52)</f>
        <v>-0.259276637341153</v>
      </c>
    </row>
    <row r="53" spans="1:7">
      <c r="A53" s="38"/>
      <c r="B53">
        <v>-0.266666666666667</v>
      </c>
      <c r="C53">
        <v>-0.272727272727273</v>
      </c>
      <c r="D53">
        <v>-0.4</v>
      </c>
      <c r="E53">
        <v>-0.2</v>
      </c>
      <c r="F53">
        <v>-0.0645161290322581</v>
      </c>
      <c r="G53">
        <f t="shared" si="20"/>
        <v>-0.24078201368524</v>
      </c>
    </row>
    <row r="54" spans="1:7">
      <c r="A54" s="38"/>
      <c r="B54">
        <v>-0.333333333333333</v>
      </c>
      <c r="C54">
        <v>-0.181818181818182</v>
      </c>
      <c r="D54">
        <v>0</v>
      </c>
      <c r="E54">
        <v>0</v>
      </c>
      <c r="F54">
        <v>-0.161290322580645</v>
      </c>
      <c r="G54">
        <f t="shared" si="20"/>
        <v>-0.135288367546432</v>
      </c>
    </row>
    <row r="55" spans="1:7">
      <c r="A55" s="38"/>
      <c r="B55">
        <v>-0.266666666666667</v>
      </c>
      <c r="C55">
        <v>-0.454545454545455</v>
      </c>
      <c r="D55">
        <v>-0.2</v>
      </c>
      <c r="E55">
        <v>-0.2</v>
      </c>
      <c r="F55">
        <v>-0.193548387096774</v>
      </c>
      <c r="G55">
        <f t="shared" si="20"/>
        <v>-0.262952101661779</v>
      </c>
    </row>
    <row r="56" spans="1:7">
      <c r="A56" s="38"/>
      <c r="B56">
        <v>-0.333333333333333</v>
      </c>
      <c r="C56">
        <v>-0.363636363636364</v>
      </c>
      <c r="D56">
        <v>-0.2</v>
      </c>
      <c r="E56">
        <v>-0.2</v>
      </c>
      <c r="F56">
        <v>-0.193548387096774</v>
      </c>
      <c r="G56">
        <f t="shared" si="20"/>
        <v>-0.258103616813294</v>
      </c>
    </row>
    <row r="57" spans="1:7">
      <c r="A57" s="38"/>
      <c r="B57">
        <v>-0.266666666666667</v>
      </c>
      <c r="C57">
        <v>-0.363636363636364</v>
      </c>
      <c r="D57">
        <v>-0.2</v>
      </c>
      <c r="E57">
        <v>0</v>
      </c>
      <c r="F57">
        <v>-0.258064516129032</v>
      </c>
      <c r="G57">
        <f t="shared" si="20"/>
        <v>-0.217673509286413</v>
      </c>
    </row>
    <row r="58" spans="1:7">
      <c r="A58" s="38"/>
      <c r="B58">
        <v>-0.2</v>
      </c>
      <c r="C58">
        <v>-0.0909090909090909</v>
      </c>
      <c r="D58">
        <v>-0.4</v>
      </c>
      <c r="E58">
        <v>-0.2</v>
      </c>
      <c r="F58">
        <v>-0.193548387096774</v>
      </c>
      <c r="G58">
        <f t="shared" si="20"/>
        <v>-0.216891495601173</v>
      </c>
    </row>
    <row r="59" spans="1:7">
      <c r="A59" s="38"/>
      <c r="B59">
        <v>-0.133333333333333</v>
      </c>
      <c r="C59">
        <v>0</v>
      </c>
      <c r="D59">
        <v>-0.4</v>
      </c>
      <c r="E59">
        <v>-0.2</v>
      </c>
      <c r="F59">
        <v>-0.258064516129032</v>
      </c>
      <c r="G59">
        <f t="shared" si="20"/>
        <v>-0.198279569892473</v>
      </c>
    </row>
    <row r="60" spans="1:7">
      <c r="A60" s="38"/>
      <c r="B60">
        <v>-0.133333333333333</v>
      </c>
      <c r="C60">
        <v>-0.181818181818182</v>
      </c>
      <c r="D60">
        <v>0</v>
      </c>
      <c r="E60">
        <v>0</v>
      </c>
      <c r="F60">
        <v>-0.193548387096774</v>
      </c>
      <c r="G60">
        <f t="shared" si="20"/>
        <v>-0.101739980449658</v>
      </c>
    </row>
    <row r="61" spans="1:7">
      <c r="A61" s="38"/>
      <c r="B61">
        <v>-0.266666666666667</v>
      </c>
      <c r="C61">
        <v>-0.363636363636364</v>
      </c>
      <c r="D61">
        <v>-0.2</v>
      </c>
      <c r="E61">
        <v>-0.2</v>
      </c>
      <c r="F61">
        <v>-0.193548387096774</v>
      </c>
      <c r="G61">
        <f t="shared" si="20"/>
        <v>-0.244770283479961</v>
      </c>
    </row>
    <row r="62" spans="1:7">
      <c r="A62" s="38"/>
      <c r="B62">
        <v>-0.0666666666666667</v>
      </c>
      <c r="C62">
        <v>-0.363636363636364</v>
      </c>
      <c r="D62">
        <v>-0.2</v>
      </c>
      <c r="E62">
        <v>-0.2</v>
      </c>
      <c r="F62">
        <v>-0.225806451612903</v>
      </c>
      <c r="G62">
        <f t="shared" si="20"/>
        <v>-0.211221896383187</v>
      </c>
    </row>
    <row r="63" spans="1:7">
      <c r="A63" s="38"/>
      <c r="B63">
        <v>-0.0666666666666667</v>
      </c>
      <c r="C63">
        <v>-0.454545454545455</v>
      </c>
      <c r="D63">
        <v>-0.2</v>
      </c>
      <c r="E63">
        <v>0</v>
      </c>
      <c r="F63">
        <v>-0.225806451612903</v>
      </c>
      <c r="G63">
        <f t="shared" si="20"/>
        <v>-0.189403714565005</v>
      </c>
    </row>
    <row r="64" spans="1:7">
      <c r="A64" s="38"/>
      <c r="B64">
        <v>-0.333333333333333</v>
      </c>
      <c r="C64">
        <v>-0.181818181818182</v>
      </c>
      <c r="D64">
        <v>0</v>
      </c>
      <c r="E64">
        <v>0</v>
      </c>
      <c r="F64">
        <v>-0.225806451612903</v>
      </c>
      <c r="G64">
        <f t="shared" si="20"/>
        <v>-0.148191593352884</v>
      </c>
    </row>
    <row r="65" spans="1:7">
      <c r="A65" s="38"/>
      <c r="B65">
        <v>-0.133333333333333</v>
      </c>
      <c r="C65">
        <v>-0.272727272727273</v>
      </c>
      <c r="D65">
        <v>-0.4</v>
      </c>
      <c r="E65">
        <v>-0.2</v>
      </c>
      <c r="F65">
        <v>-0.193548387096774</v>
      </c>
      <c r="G65">
        <f t="shared" si="20"/>
        <v>-0.239921798631476</v>
      </c>
    </row>
    <row r="66" spans="1:7">
      <c r="A66" s="38"/>
      <c r="B66">
        <v>-0.266666666666667</v>
      </c>
      <c r="C66">
        <v>-0.363636363636364</v>
      </c>
      <c r="D66">
        <v>0</v>
      </c>
      <c r="E66">
        <v>-0.4</v>
      </c>
      <c r="F66">
        <v>-0.0967741935483871</v>
      </c>
      <c r="G66">
        <f t="shared" si="20"/>
        <v>-0.225415444770284</v>
      </c>
    </row>
    <row r="67" spans="1:7">
      <c r="A67" s="38"/>
      <c r="B67" s="37">
        <v>-0.133333333333333</v>
      </c>
      <c r="C67" s="37">
        <v>-0.454545454545455</v>
      </c>
      <c r="D67">
        <v>-0.2</v>
      </c>
      <c r="E67">
        <v>-0.2</v>
      </c>
      <c r="F67">
        <v>-0.193548387096774</v>
      </c>
      <c r="G67">
        <f t="shared" si="20"/>
        <v>-0.236285434995112</v>
      </c>
    </row>
    <row r="68" spans="1:7">
      <c r="A68" s="38"/>
      <c r="B68" s="37">
        <v>-0.333333333333333</v>
      </c>
      <c r="C68" s="37">
        <v>-0.363636363636364</v>
      </c>
      <c r="D68">
        <v>-0.2</v>
      </c>
      <c r="E68">
        <v>0</v>
      </c>
      <c r="F68">
        <v>-0.225806451612903</v>
      </c>
      <c r="G68">
        <f t="shared" si="20"/>
        <v>-0.22455522971652</v>
      </c>
    </row>
    <row r="69" spans="1:7">
      <c r="A69" s="38"/>
      <c r="B69" s="37">
        <v>-0.266666666666667</v>
      </c>
      <c r="C69" s="37">
        <v>-0.272727272727273</v>
      </c>
      <c r="D69">
        <v>-0.2</v>
      </c>
      <c r="E69">
        <v>-0.2</v>
      </c>
      <c r="F69">
        <v>-0.258064516129032</v>
      </c>
      <c r="G69">
        <f t="shared" si="20"/>
        <v>-0.239491691104594</v>
      </c>
    </row>
    <row r="70" spans="1:12">
      <c r="A70" s="37"/>
      <c r="B70" s="37">
        <v>-0.133333333333333</v>
      </c>
      <c r="C70" s="37">
        <v>-0.363636363636364</v>
      </c>
      <c r="D70" s="37">
        <v>-0.2</v>
      </c>
      <c r="E70" s="37">
        <v>-0.6</v>
      </c>
      <c r="F70" s="37">
        <v>-0.290322580645161</v>
      </c>
      <c r="G70">
        <f t="shared" si="20"/>
        <v>-0.317458455522972</v>
      </c>
      <c r="H70" s="37"/>
      <c r="I70" s="37"/>
      <c r="J70" s="37"/>
      <c r="K70" s="37"/>
      <c r="L70" s="37"/>
    </row>
    <row r="71" spans="1:12">
      <c r="A71" s="37"/>
      <c r="B71" s="37">
        <f>AVERAGE(B51:B70)</f>
        <v>-0.22</v>
      </c>
      <c r="C71" s="37">
        <f t="shared" ref="C71:F71" si="21">AVERAGE(C51:C70)</f>
        <v>-0.304545454545455</v>
      </c>
      <c r="D71" s="37">
        <f t="shared" si="21"/>
        <v>-0.2</v>
      </c>
      <c r="E71" s="37">
        <f t="shared" si="21"/>
        <v>-0.17</v>
      </c>
      <c r="F71" s="37">
        <f t="shared" si="21"/>
        <v>-0.203225806451613</v>
      </c>
      <c r="G71">
        <f t="shared" si="20"/>
        <v>-0.219554252199414</v>
      </c>
      <c r="H71" s="37"/>
      <c r="I71" s="37"/>
      <c r="J71" s="37"/>
      <c r="K71" s="37"/>
      <c r="L71" s="37"/>
    </row>
    <row r="72" spans="1:12">
      <c r="A72" s="37"/>
      <c r="B72" s="37"/>
      <c r="C72" s="37"/>
      <c r="D72" s="37"/>
      <c r="E72" s="37"/>
      <c r="F72" s="37"/>
      <c r="H72" s="37"/>
      <c r="I72" s="37"/>
      <c r="J72" s="37"/>
      <c r="K72" s="37"/>
      <c r="L72" s="37"/>
    </row>
    <row r="73" spans="1:12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</row>
    <row r="74" spans="1:12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</row>
    <row r="75" spans="1:12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</row>
    <row r="76" spans="1:12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</row>
    <row r="77" spans="1:12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</row>
    <row r="78" spans="1:12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</row>
    <row r="79" spans="1:12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</row>
    <row r="80" spans="1:12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</row>
    <row r="81" spans="1:12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</row>
    <row r="82" spans="1:1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</row>
    <row r="83" spans="1:12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</row>
    <row r="84" spans="1:12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</row>
    <row r="85" spans="1:12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</row>
    <row r="86" spans="1:12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</row>
    <row r="87" spans="1:12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</row>
    <row r="88" spans="1:12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</row>
    <row r="89" spans="1:12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</row>
    <row r="90" spans="1:12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</row>
    <row r="91" spans="1:12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</row>
    <row r="92" spans="1:1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</row>
    <row r="93" spans="1:12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</row>
    <row r="94" spans="1:12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</row>
    <row r="95" spans="1:12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</row>
    <row r="96" spans="1:12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</row>
    <row r="97" spans="1:12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</row>
    <row r="98" spans="1:12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</row>
    <row r="99" spans="1:12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</row>
    <row r="100" spans="1:12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</row>
    <row r="101" spans="1:12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</row>
    <row r="102" spans="1:1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</row>
    <row r="103" spans="1:12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</row>
    <row r="104" spans="1:12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</row>
    <row r="105" spans="1:12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</row>
    <row r="106" spans="1:12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</row>
    <row r="107" spans="1:12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</row>
    <row r="108" spans="1:12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spans="1:12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</row>
    <row r="110" spans="1:12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</row>
    <row r="111" spans="1:12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</row>
    <row r="112" spans="1: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</row>
    <row r="113" spans="1:12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</row>
    <row r="114" spans="1:12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</row>
    <row r="115" spans="1:12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</row>
    <row r="116" spans="1:12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</row>
    <row r="117" spans="1:12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</row>
    <row r="118" spans="1:12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</row>
    <row r="119" spans="1:12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</row>
    <row r="120" spans="1:12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</row>
    <row r="121" spans="1:12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</row>
    <row r="122" spans="1:1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</row>
    <row r="123" spans="1:12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</row>
    <row r="124" spans="1:12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</row>
    <row r="125" spans="1:12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</row>
    <row r="126" spans="1:12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</row>
    <row r="127" spans="1:12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</row>
    <row r="128" spans="1:12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</row>
    <row r="129" spans="1:12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</row>
    <row r="130" spans="1:12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</row>
    <row r="131" spans="1:12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</row>
    <row r="132" spans="1:1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</row>
    <row r="133" spans="1:12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</row>
    <row r="134" spans="1:12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</row>
    <row r="135" spans="1:12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</row>
    <row r="136" spans="1:10">
      <c r="A136" s="37"/>
      <c r="B136" s="37"/>
      <c r="C136" s="37"/>
      <c r="D136" s="37"/>
      <c r="E136" s="37"/>
      <c r="F136" s="37"/>
      <c r="G136" s="37"/>
      <c r="H136" s="37"/>
      <c r="I136" s="37"/>
      <c r="J136" s="37"/>
    </row>
  </sheetData>
  <mergeCells count="7">
    <mergeCell ref="B1:F1"/>
    <mergeCell ref="H1:M1"/>
    <mergeCell ref="N1:S1"/>
    <mergeCell ref="T1:Y1"/>
    <mergeCell ref="Z1:AE1"/>
    <mergeCell ref="A24:A43"/>
    <mergeCell ref="A51:A69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2"/>
  <sheetViews>
    <sheetView topLeftCell="H1" workbookViewId="0">
      <selection activeCell="Q48" sqref="Q48"/>
    </sheetView>
  </sheetViews>
  <sheetFormatPr defaultColWidth="9" defaultRowHeight="14"/>
  <cols>
    <col min="1" max="1" width="49.9166666666667" style="2" customWidth="1"/>
    <col min="2" max="28" width="13.8333333333333" style="2"/>
    <col min="29" max="29" width="12.6666666666667" style="2"/>
    <col min="30" max="31" width="13.8333333333333" style="2"/>
    <col min="32" max="16384" width="9" style="2"/>
  </cols>
  <sheetData>
    <row r="1" spans="2:31">
      <c r="B1" s="3" t="s">
        <v>1</v>
      </c>
      <c r="C1" s="3"/>
      <c r="D1" s="3"/>
      <c r="E1" s="3"/>
      <c r="F1" s="3"/>
      <c r="G1" s="4"/>
      <c r="H1" s="5" t="s">
        <v>1</v>
      </c>
      <c r="I1" s="5"/>
      <c r="J1" s="5"/>
      <c r="K1" s="5"/>
      <c r="L1" s="5"/>
      <c r="M1" s="5"/>
      <c r="N1" s="18" t="s">
        <v>2</v>
      </c>
      <c r="O1" s="18"/>
      <c r="P1" s="18"/>
      <c r="Q1" s="18"/>
      <c r="R1" s="18"/>
      <c r="S1" s="18"/>
      <c r="T1" s="22" t="s">
        <v>19</v>
      </c>
      <c r="U1" s="22"/>
      <c r="V1" s="22"/>
      <c r="W1" s="22"/>
      <c r="X1" s="22"/>
      <c r="Y1" s="22"/>
      <c r="Z1" s="33" t="s">
        <v>20</v>
      </c>
      <c r="AA1" s="33"/>
      <c r="AB1" s="33"/>
      <c r="AC1" s="33"/>
      <c r="AD1" s="33"/>
      <c r="AE1" s="33"/>
    </row>
    <row r="2" spans="2:31"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3</v>
      </c>
      <c r="I2" s="7" t="s">
        <v>4</v>
      </c>
      <c r="J2" s="7" t="s">
        <v>5</v>
      </c>
      <c r="K2" s="7" t="s">
        <v>6</v>
      </c>
      <c r="L2" s="7" t="s">
        <v>7</v>
      </c>
      <c r="M2" s="7" t="s">
        <v>8</v>
      </c>
      <c r="N2" s="19" t="s">
        <v>3</v>
      </c>
      <c r="O2" s="19" t="s">
        <v>4</v>
      </c>
      <c r="P2" s="19" t="s">
        <v>5</v>
      </c>
      <c r="Q2" s="19" t="s">
        <v>6</v>
      </c>
      <c r="R2" s="19" t="s">
        <v>7</v>
      </c>
      <c r="S2" s="19" t="s">
        <v>8</v>
      </c>
      <c r="T2" s="23" t="s">
        <v>3</v>
      </c>
      <c r="U2" s="23" t="s">
        <v>4</v>
      </c>
      <c r="V2" s="23" t="s">
        <v>5</v>
      </c>
      <c r="W2" s="23" t="s">
        <v>6</v>
      </c>
      <c r="X2" s="23" t="s">
        <v>7</v>
      </c>
      <c r="Y2" s="23" t="s">
        <v>8</v>
      </c>
      <c r="Z2" s="34"/>
      <c r="AA2" s="34"/>
      <c r="AB2" s="34"/>
      <c r="AC2" s="34"/>
      <c r="AD2" s="34"/>
      <c r="AE2" s="34"/>
    </row>
    <row r="3" spans="1:31">
      <c r="A3" s="8" t="s">
        <v>52</v>
      </c>
      <c r="B3" s="9">
        <v>12</v>
      </c>
      <c r="C3" s="9">
        <v>27</v>
      </c>
      <c r="D3" s="9">
        <v>40</v>
      </c>
      <c r="E3" s="9">
        <v>56</v>
      </c>
      <c r="F3" s="9">
        <v>23.2660016454134</v>
      </c>
      <c r="G3" s="9">
        <v>17.3846153846154</v>
      </c>
      <c r="H3" s="29">
        <v>10</v>
      </c>
      <c r="I3" s="29">
        <v>15</v>
      </c>
      <c r="J3" s="29">
        <v>22</v>
      </c>
      <c r="K3" s="29">
        <v>29</v>
      </c>
      <c r="L3" s="29">
        <v>60.0276094276094</v>
      </c>
      <c r="M3" s="29">
        <v>44.9090909090909</v>
      </c>
      <c r="N3" s="25">
        <v>4</v>
      </c>
      <c r="O3" s="25">
        <v>14</v>
      </c>
      <c r="P3" s="25">
        <v>19</v>
      </c>
      <c r="Q3" s="25">
        <v>34</v>
      </c>
      <c r="R3" s="19">
        <v>66.9555555555556</v>
      </c>
      <c r="S3" s="19">
        <v>29.0833333333333</v>
      </c>
      <c r="T3" s="32">
        <v>5</v>
      </c>
      <c r="U3" s="32">
        <v>6</v>
      </c>
      <c r="V3" s="32">
        <v>8</v>
      </c>
      <c r="W3" s="32">
        <v>14</v>
      </c>
      <c r="X3" s="32">
        <v>88.7121212121212</v>
      </c>
      <c r="Y3" s="32">
        <v>54.9090909090909</v>
      </c>
      <c r="Z3" s="35">
        <v>25</v>
      </c>
      <c r="AA3" s="35">
        <v>54</v>
      </c>
      <c r="AB3" s="35">
        <v>73</v>
      </c>
      <c r="AC3" s="35">
        <v>105</v>
      </c>
      <c r="AD3" s="35">
        <v>38.9826111252582</v>
      </c>
      <c r="AE3" s="35">
        <v>18.7647058823529</v>
      </c>
    </row>
    <row r="4" spans="1:31">
      <c r="A4" s="8" t="s">
        <v>53</v>
      </c>
      <c r="B4" s="9">
        <v>12</v>
      </c>
      <c r="C4" s="9">
        <v>28</v>
      </c>
      <c r="D4" s="9">
        <v>40</v>
      </c>
      <c r="E4" s="9">
        <v>55</v>
      </c>
      <c r="F4" s="9">
        <v>23.865012683395</v>
      </c>
      <c r="G4" s="9">
        <v>17.3076923076923</v>
      </c>
      <c r="H4" s="29">
        <v>8</v>
      </c>
      <c r="I4" s="29">
        <v>17</v>
      </c>
      <c r="J4" s="29">
        <v>24</v>
      </c>
      <c r="K4" s="29">
        <v>31</v>
      </c>
      <c r="L4" s="29">
        <v>59.8250841750842</v>
      </c>
      <c r="M4" s="29">
        <v>44.5151515151515</v>
      </c>
      <c r="N4" s="25">
        <v>4</v>
      </c>
      <c r="O4" s="25">
        <v>13</v>
      </c>
      <c r="P4" s="25">
        <v>19</v>
      </c>
      <c r="Q4" s="25">
        <v>34</v>
      </c>
      <c r="R4" s="19">
        <v>67.0888888888889</v>
      </c>
      <c r="S4" s="19">
        <v>29.125</v>
      </c>
      <c r="T4" s="32">
        <v>5</v>
      </c>
      <c r="U4" s="32">
        <v>5</v>
      </c>
      <c r="V4" s="32">
        <v>7</v>
      </c>
      <c r="W4" s="32">
        <v>13</v>
      </c>
      <c r="X4" s="32">
        <v>93.2367424242424</v>
      </c>
      <c r="Y4" s="32">
        <v>61.9545454545455</v>
      </c>
      <c r="Z4" s="35">
        <v>23</v>
      </c>
      <c r="AA4" s="35">
        <v>55</v>
      </c>
      <c r="AB4" s="35">
        <v>69</v>
      </c>
      <c r="AC4" s="35">
        <v>101</v>
      </c>
      <c r="AD4" s="35">
        <v>41.3416648982826</v>
      </c>
      <c r="AE4" s="35">
        <v>21.5588235294118</v>
      </c>
    </row>
    <row r="5" spans="1:31">
      <c r="A5" s="8" t="s">
        <v>54</v>
      </c>
      <c r="B5" s="9">
        <v>12</v>
      </c>
      <c r="C5" s="9">
        <v>26</v>
      </c>
      <c r="D5" s="9">
        <v>42</v>
      </c>
      <c r="E5" s="9">
        <v>55</v>
      </c>
      <c r="F5" s="9">
        <v>24.2715497737557</v>
      </c>
      <c r="G5" s="9">
        <v>17.75</v>
      </c>
      <c r="H5" s="29">
        <v>9</v>
      </c>
      <c r="I5" s="29">
        <v>15</v>
      </c>
      <c r="J5" s="29">
        <v>21</v>
      </c>
      <c r="K5" s="29">
        <v>30</v>
      </c>
      <c r="L5" s="29">
        <v>59.909595959596</v>
      </c>
      <c r="M5" s="29">
        <v>44.3636363636364</v>
      </c>
      <c r="N5" s="25">
        <v>4</v>
      </c>
      <c r="O5" s="25">
        <v>14</v>
      </c>
      <c r="P5" s="25">
        <v>19</v>
      </c>
      <c r="Q5" s="25">
        <v>34</v>
      </c>
      <c r="R5" s="19">
        <v>66.9805555555556</v>
      </c>
      <c r="S5" s="19">
        <v>29.0416666666667</v>
      </c>
      <c r="T5" s="32">
        <v>5</v>
      </c>
      <c r="U5" s="32">
        <v>6</v>
      </c>
      <c r="V5" s="32">
        <v>8</v>
      </c>
      <c r="W5" s="32">
        <v>12</v>
      </c>
      <c r="X5" s="32">
        <v>100.503409090909</v>
      </c>
      <c r="Y5" s="32">
        <v>72.5454545454545</v>
      </c>
      <c r="Z5" s="35">
        <v>21</v>
      </c>
      <c r="AA5" s="35">
        <v>48</v>
      </c>
      <c r="AB5" s="35">
        <v>70</v>
      </c>
      <c r="AC5" s="35">
        <v>100</v>
      </c>
      <c r="AD5" s="35">
        <v>38.1291603004838</v>
      </c>
      <c r="AE5" s="35">
        <v>18.3627450980392</v>
      </c>
    </row>
    <row r="6" spans="1:31">
      <c r="A6" s="8" t="s">
        <v>55</v>
      </c>
      <c r="B6" s="9">
        <v>14</v>
      </c>
      <c r="C6" s="9">
        <v>29</v>
      </c>
      <c r="D6" s="9">
        <v>43</v>
      </c>
      <c r="E6" s="9">
        <v>56</v>
      </c>
      <c r="F6" s="9">
        <v>24.191152474976</v>
      </c>
      <c r="G6" s="9">
        <v>17.1538461538461</v>
      </c>
      <c r="H6" s="29">
        <v>6</v>
      </c>
      <c r="I6" s="29">
        <v>15</v>
      </c>
      <c r="J6" s="29">
        <v>21</v>
      </c>
      <c r="K6" s="29">
        <v>26</v>
      </c>
      <c r="L6" s="29">
        <v>59.2574074074074</v>
      </c>
      <c r="M6" s="29">
        <v>42.6969696969697</v>
      </c>
      <c r="N6" s="25">
        <v>5</v>
      </c>
      <c r="O6" s="25">
        <v>14</v>
      </c>
      <c r="P6" s="25">
        <v>17</v>
      </c>
      <c r="Q6" s="25">
        <v>33</v>
      </c>
      <c r="R6" s="19">
        <v>66.9208333333333</v>
      </c>
      <c r="S6" s="19">
        <v>29.125</v>
      </c>
      <c r="T6" s="32">
        <v>5</v>
      </c>
      <c r="U6" s="32">
        <v>7</v>
      </c>
      <c r="V6" s="32">
        <v>8</v>
      </c>
      <c r="W6" s="32">
        <v>12</v>
      </c>
      <c r="X6" s="32">
        <v>99.1125</v>
      </c>
      <c r="Y6" s="32">
        <v>71.1818181818182</v>
      </c>
      <c r="Z6" s="35">
        <v>26</v>
      </c>
      <c r="AA6" s="35">
        <v>54</v>
      </c>
      <c r="AB6" s="35">
        <v>69</v>
      </c>
      <c r="AC6" s="35">
        <v>100</v>
      </c>
      <c r="AD6" s="35">
        <v>42.3773073876015</v>
      </c>
      <c r="AE6" s="35">
        <v>20.0980392156863</v>
      </c>
    </row>
    <row r="7" spans="1:31">
      <c r="A7" s="8" t="s">
        <v>56</v>
      </c>
      <c r="B7" s="9">
        <v>11</v>
      </c>
      <c r="C7" s="9">
        <v>27</v>
      </c>
      <c r="D7" s="9">
        <v>42</v>
      </c>
      <c r="E7" s="9">
        <v>53</v>
      </c>
      <c r="F7" s="9">
        <v>23.0939051144933</v>
      </c>
      <c r="G7" s="9">
        <v>16.9038461538461</v>
      </c>
      <c r="H7" s="29">
        <v>9</v>
      </c>
      <c r="I7" s="29">
        <v>14</v>
      </c>
      <c r="J7" s="29">
        <v>19</v>
      </c>
      <c r="K7" s="29">
        <v>30</v>
      </c>
      <c r="L7" s="29">
        <v>60.3318181818182</v>
      </c>
      <c r="M7" s="29">
        <v>46.8484848484849</v>
      </c>
      <c r="N7" s="25">
        <v>4</v>
      </c>
      <c r="O7" s="25">
        <v>13</v>
      </c>
      <c r="P7" s="25">
        <v>19</v>
      </c>
      <c r="Q7" s="25">
        <v>34</v>
      </c>
      <c r="R7" s="19">
        <v>66.8333333333333</v>
      </c>
      <c r="S7" s="19">
        <v>28.9583333333333</v>
      </c>
      <c r="T7" s="32">
        <v>5</v>
      </c>
      <c r="U7" s="32">
        <v>7</v>
      </c>
      <c r="V7" s="32">
        <v>8</v>
      </c>
      <c r="W7" s="32">
        <v>12</v>
      </c>
      <c r="X7" s="32">
        <v>104.700757575758</v>
      </c>
      <c r="Y7" s="32">
        <v>73.8181818181818</v>
      </c>
      <c r="Z7" s="35">
        <v>23</v>
      </c>
      <c r="AA7" s="35">
        <v>51</v>
      </c>
      <c r="AB7" s="35">
        <v>70</v>
      </c>
      <c r="AC7" s="35">
        <v>101</v>
      </c>
      <c r="AD7" s="35">
        <v>42.4886121367739</v>
      </c>
      <c r="AE7" s="35">
        <v>20.7843137254902</v>
      </c>
    </row>
    <row r="8" spans="1:31">
      <c r="A8" s="8" t="s">
        <v>57</v>
      </c>
      <c r="B8" s="9">
        <v>14</v>
      </c>
      <c r="C8" s="9">
        <v>28</v>
      </c>
      <c r="D8" s="9">
        <v>39</v>
      </c>
      <c r="E8" s="9">
        <v>54</v>
      </c>
      <c r="F8" s="9">
        <v>22.9922425613602</v>
      </c>
      <c r="G8" s="9">
        <v>16.4615384615385</v>
      </c>
      <c r="H8" s="29">
        <v>7</v>
      </c>
      <c r="I8" s="29">
        <v>15</v>
      </c>
      <c r="J8" s="29">
        <v>19</v>
      </c>
      <c r="K8" s="29">
        <v>28</v>
      </c>
      <c r="L8" s="29">
        <v>60.6740740740741</v>
      </c>
      <c r="M8" s="29">
        <v>47.2121212121212</v>
      </c>
      <c r="N8" s="25">
        <v>4</v>
      </c>
      <c r="O8" s="25">
        <v>13</v>
      </c>
      <c r="P8" s="25">
        <v>19</v>
      </c>
      <c r="Q8" s="25">
        <v>34</v>
      </c>
      <c r="R8" s="19">
        <v>66.6666666666667</v>
      </c>
      <c r="S8" s="19">
        <v>28.875</v>
      </c>
      <c r="T8" s="32">
        <v>5</v>
      </c>
      <c r="U8" s="32">
        <v>6</v>
      </c>
      <c r="V8" s="32">
        <v>7</v>
      </c>
      <c r="W8" s="32">
        <v>14</v>
      </c>
      <c r="X8" s="32">
        <v>98.9284090909091</v>
      </c>
      <c r="Y8" s="32">
        <v>66.7727272727273</v>
      </c>
      <c r="Z8" s="35">
        <v>25</v>
      </c>
      <c r="AA8" s="35">
        <v>52</v>
      </c>
      <c r="AB8" s="35">
        <v>65</v>
      </c>
      <c r="AC8" s="35">
        <v>102</v>
      </c>
      <c r="AD8" s="35">
        <v>41.749483808675</v>
      </c>
      <c r="AE8" s="35">
        <v>22.7647058823529</v>
      </c>
    </row>
    <row r="9" spans="1:31">
      <c r="A9" s="8" t="s">
        <v>58</v>
      </c>
      <c r="B9" s="9">
        <v>11</v>
      </c>
      <c r="C9" s="9">
        <v>30</v>
      </c>
      <c r="D9" s="9">
        <v>40</v>
      </c>
      <c r="E9" s="9">
        <v>55</v>
      </c>
      <c r="F9" s="9">
        <v>22.3714932126697</v>
      </c>
      <c r="G9" s="9">
        <v>15.7307692307692</v>
      </c>
      <c r="H9" s="29">
        <v>8</v>
      </c>
      <c r="I9" s="29">
        <v>17</v>
      </c>
      <c r="J9" s="29">
        <v>23</v>
      </c>
      <c r="K9" s="29">
        <v>28</v>
      </c>
      <c r="L9" s="29">
        <v>62.2535353535354</v>
      </c>
      <c r="M9" s="29">
        <v>49.3939393939394</v>
      </c>
      <c r="N9" s="25">
        <v>5</v>
      </c>
      <c r="O9" s="25">
        <v>13</v>
      </c>
      <c r="P9" s="25">
        <v>19</v>
      </c>
      <c r="Q9" s="25">
        <v>34</v>
      </c>
      <c r="R9" s="19">
        <v>66.9333333333333</v>
      </c>
      <c r="S9" s="19">
        <v>28.9583333333333</v>
      </c>
      <c r="T9" s="32">
        <v>5</v>
      </c>
      <c r="U9" s="32">
        <v>6</v>
      </c>
      <c r="V9" s="32">
        <v>6</v>
      </c>
      <c r="W9" s="32">
        <v>15</v>
      </c>
      <c r="X9" s="32">
        <v>92.6473484848485</v>
      </c>
      <c r="Y9" s="32">
        <v>62.3636363636364</v>
      </c>
      <c r="Z9" s="35">
        <v>26</v>
      </c>
      <c r="AA9" s="35">
        <v>50</v>
      </c>
      <c r="AB9" s="35">
        <v>65</v>
      </c>
      <c r="AC9" s="35">
        <v>100</v>
      </c>
      <c r="AD9" s="35">
        <v>40.1927956030897</v>
      </c>
      <c r="AE9" s="35">
        <v>20.9705882352941</v>
      </c>
    </row>
    <row r="10" spans="1:31">
      <c r="A10" s="8" t="s">
        <v>59</v>
      </c>
      <c r="B10" s="9">
        <v>11</v>
      </c>
      <c r="C10" s="9">
        <v>27</v>
      </c>
      <c r="D10" s="9">
        <v>40</v>
      </c>
      <c r="E10" s="9">
        <v>54</v>
      </c>
      <c r="F10" s="9">
        <v>24.0247977512683</v>
      </c>
      <c r="G10" s="9">
        <v>17.6730769230769</v>
      </c>
      <c r="H10" s="29">
        <v>9</v>
      </c>
      <c r="I10" s="29">
        <v>15</v>
      </c>
      <c r="J10" s="29">
        <v>19</v>
      </c>
      <c r="K10" s="29">
        <v>29</v>
      </c>
      <c r="L10" s="29">
        <v>58.0557239057239</v>
      </c>
      <c r="M10" s="29">
        <v>43.4848484848485</v>
      </c>
      <c r="N10" s="25">
        <v>4</v>
      </c>
      <c r="O10" s="25">
        <v>13</v>
      </c>
      <c r="P10" s="25">
        <v>19</v>
      </c>
      <c r="Q10" s="25">
        <v>34</v>
      </c>
      <c r="R10" s="19">
        <v>66.9173611111111</v>
      </c>
      <c r="S10" s="19">
        <v>29.0416666666667</v>
      </c>
      <c r="T10" s="32">
        <v>5</v>
      </c>
      <c r="U10" s="32">
        <v>6</v>
      </c>
      <c r="V10" s="32">
        <v>6</v>
      </c>
      <c r="W10" s="32">
        <v>14</v>
      </c>
      <c r="X10" s="32">
        <v>93.8416666666667</v>
      </c>
      <c r="Y10" s="32">
        <v>63.8181818181818</v>
      </c>
      <c r="Z10" s="35">
        <v>23</v>
      </c>
      <c r="AA10" s="35">
        <v>53</v>
      </c>
      <c r="AB10" s="35">
        <v>71</v>
      </c>
      <c r="AC10" s="35">
        <v>102</v>
      </c>
      <c r="AD10" s="35">
        <v>46.5366773477067</v>
      </c>
      <c r="AE10" s="35">
        <v>23.7254901960784</v>
      </c>
    </row>
    <row r="11" spans="1:31">
      <c r="A11" s="8" t="s">
        <v>60</v>
      </c>
      <c r="B11" s="9">
        <v>15</v>
      </c>
      <c r="C11" s="9">
        <v>27</v>
      </c>
      <c r="D11" s="9">
        <v>43</v>
      </c>
      <c r="E11" s="9">
        <v>53</v>
      </c>
      <c r="F11" s="9">
        <v>22.7714195118607</v>
      </c>
      <c r="G11" s="9">
        <v>16.3269230769231</v>
      </c>
      <c r="H11" s="29">
        <v>9</v>
      </c>
      <c r="I11" s="29">
        <v>17</v>
      </c>
      <c r="J11" s="29">
        <v>25</v>
      </c>
      <c r="K11" s="29">
        <v>31</v>
      </c>
      <c r="L11" s="29">
        <v>61.5454545454545</v>
      </c>
      <c r="M11" s="29">
        <v>47.4545454545455</v>
      </c>
      <c r="N11" s="25">
        <v>4</v>
      </c>
      <c r="O11" s="25">
        <v>13</v>
      </c>
      <c r="P11" s="25">
        <v>18</v>
      </c>
      <c r="Q11" s="25">
        <v>35</v>
      </c>
      <c r="R11" s="19">
        <v>66.7958333333333</v>
      </c>
      <c r="S11" s="19">
        <v>29</v>
      </c>
      <c r="T11" s="32">
        <v>5</v>
      </c>
      <c r="U11" s="32">
        <v>6</v>
      </c>
      <c r="V11" s="32">
        <v>8</v>
      </c>
      <c r="W11" s="32">
        <v>13</v>
      </c>
      <c r="X11" s="32">
        <v>93.3375</v>
      </c>
      <c r="Y11" s="32">
        <v>62.5909090909091</v>
      </c>
      <c r="Z11" s="35">
        <v>22</v>
      </c>
      <c r="AA11" s="35">
        <v>52</v>
      </c>
      <c r="AB11" s="35">
        <v>65</v>
      </c>
      <c r="AC11" s="35">
        <v>100</v>
      </c>
      <c r="AD11" s="35">
        <v>39.7347979090626</v>
      </c>
      <c r="AE11" s="35">
        <v>18.9607843137255</v>
      </c>
    </row>
    <row r="12" spans="1:31">
      <c r="A12" s="8" t="s">
        <v>61</v>
      </c>
      <c r="B12" s="9">
        <v>13</v>
      </c>
      <c r="C12" s="9">
        <v>27</v>
      </c>
      <c r="D12" s="9">
        <v>41</v>
      </c>
      <c r="E12" s="9">
        <v>53</v>
      </c>
      <c r="F12" s="9">
        <v>23.8010455231043</v>
      </c>
      <c r="G12" s="9">
        <v>17.6346153846154</v>
      </c>
      <c r="H12" s="29">
        <v>9</v>
      </c>
      <c r="I12" s="29">
        <v>14</v>
      </c>
      <c r="J12" s="29">
        <v>21</v>
      </c>
      <c r="K12" s="29">
        <v>31</v>
      </c>
      <c r="L12" s="29">
        <v>61.2143097643098</v>
      </c>
      <c r="M12" s="29">
        <v>44.9393939393939</v>
      </c>
      <c r="N12" s="25">
        <v>5</v>
      </c>
      <c r="O12" s="25">
        <v>14</v>
      </c>
      <c r="P12" s="25">
        <v>17</v>
      </c>
      <c r="Q12" s="25">
        <v>34</v>
      </c>
      <c r="R12" s="19">
        <v>66.3604166666667</v>
      </c>
      <c r="S12" s="19">
        <v>28.5416666666667</v>
      </c>
      <c r="T12" s="32">
        <v>4</v>
      </c>
      <c r="U12" s="32">
        <v>6</v>
      </c>
      <c r="V12" s="32">
        <v>8</v>
      </c>
      <c r="W12" s="32">
        <v>11</v>
      </c>
      <c r="X12" s="32">
        <v>95.4852272727273</v>
      </c>
      <c r="Y12" s="32">
        <v>69.5454545454545</v>
      </c>
      <c r="Z12" s="35">
        <v>23</v>
      </c>
      <c r="AA12" s="35">
        <v>50</v>
      </c>
      <c r="AB12" s="35">
        <v>68</v>
      </c>
      <c r="AC12" s="35">
        <v>101</v>
      </c>
      <c r="AD12" s="35">
        <v>41.8349453922983</v>
      </c>
      <c r="AE12" s="35">
        <v>19.7058823529412</v>
      </c>
    </row>
    <row r="13" spans="1:31">
      <c r="A13" s="8" t="s">
        <v>62</v>
      </c>
      <c r="B13" s="9">
        <v>13</v>
      </c>
      <c r="C13" s="9">
        <v>26</v>
      </c>
      <c r="D13" s="9">
        <v>39</v>
      </c>
      <c r="E13" s="9">
        <v>53</v>
      </c>
      <c r="F13" s="9">
        <v>24.6283422459893</v>
      </c>
      <c r="G13" s="9">
        <v>17.9230769230769</v>
      </c>
      <c r="H13" s="29">
        <v>9</v>
      </c>
      <c r="I13" s="29">
        <v>17</v>
      </c>
      <c r="J13" s="29">
        <v>23</v>
      </c>
      <c r="K13" s="29">
        <v>26</v>
      </c>
      <c r="L13" s="29">
        <v>61.8409090909091</v>
      </c>
      <c r="M13" s="29">
        <v>48.1515151515151</v>
      </c>
      <c r="N13" s="25">
        <v>4</v>
      </c>
      <c r="O13" s="25">
        <v>14</v>
      </c>
      <c r="P13" s="25">
        <v>19</v>
      </c>
      <c r="Q13" s="25">
        <v>35</v>
      </c>
      <c r="R13" s="19">
        <v>68.1861111111111</v>
      </c>
      <c r="S13" s="19">
        <v>29.7916666666667</v>
      </c>
      <c r="T13" s="32">
        <v>4</v>
      </c>
      <c r="U13" s="32">
        <v>6</v>
      </c>
      <c r="V13" s="32">
        <v>7</v>
      </c>
      <c r="W13" s="32">
        <v>14</v>
      </c>
      <c r="X13" s="32">
        <v>102.81553030303</v>
      </c>
      <c r="Y13" s="32">
        <v>72</v>
      </c>
      <c r="Z13" s="35">
        <v>25</v>
      </c>
      <c r="AA13" s="35">
        <v>52</v>
      </c>
      <c r="AB13" s="35">
        <v>71</v>
      </c>
      <c r="AC13" s="35">
        <v>99</v>
      </c>
      <c r="AD13" s="35">
        <v>40.00143999519</v>
      </c>
      <c r="AE13" s="35">
        <v>21.0588235294118</v>
      </c>
    </row>
    <row r="14" spans="1:31">
      <c r="A14" s="8" t="s">
        <v>63</v>
      </c>
      <c r="B14" s="9">
        <v>12</v>
      </c>
      <c r="C14" s="9">
        <v>28</v>
      </c>
      <c r="D14" s="9">
        <v>40</v>
      </c>
      <c r="E14" s="9">
        <v>54</v>
      </c>
      <c r="F14" s="9">
        <v>22.3647624434389</v>
      </c>
      <c r="G14" s="9">
        <v>15.5961538461539</v>
      </c>
      <c r="H14" s="29">
        <v>9</v>
      </c>
      <c r="I14" s="29">
        <v>18</v>
      </c>
      <c r="J14" s="29">
        <v>25</v>
      </c>
      <c r="K14" s="29">
        <v>30</v>
      </c>
      <c r="L14" s="29">
        <v>59.9728956228956</v>
      </c>
      <c r="M14" s="29">
        <v>46.1212121212121</v>
      </c>
      <c r="N14" s="25">
        <v>5</v>
      </c>
      <c r="O14" s="25">
        <v>14</v>
      </c>
      <c r="P14" s="25">
        <v>19</v>
      </c>
      <c r="Q14" s="25">
        <v>34</v>
      </c>
      <c r="R14" s="19">
        <v>67.1305555555555</v>
      </c>
      <c r="S14" s="19">
        <v>29.0833333333333</v>
      </c>
      <c r="T14" s="32">
        <v>5</v>
      </c>
      <c r="U14" s="32">
        <v>6</v>
      </c>
      <c r="V14" s="32">
        <v>7</v>
      </c>
      <c r="W14" s="32">
        <v>11</v>
      </c>
      <c r="X14" s="32">
        <v>102.636363636364</v>
      </c>
      <c r="Y14" s="32">
        <v>75.1363636363636</v>
      </c>
      <c r="Z14" s="35">
        <v>27</v>
      </c>
      <c r="AA14" s="35">
        <v>52</v>
      </c>
      <c r="AB14" s="35">
        <v>69</v>
      </c>
      <c r="AC14" s="35">
        <v>96</v>
      </c>
      <c r="AD14" s="35">
        <v>41.4876366960926</v>
      </c>
      <c r="AE14" s="35">
        <v>21.6078431372549</v>
      </c>
    </row>
    <row r="15" spans="1:31">
      <c r="A15" s="8" t="s">
        <v>64</v>
      </c>
      <c r="B15" s="9">
        <v>13</v>
      </c>
      <c r="C15" s="9">
        <v>26</v>
      </c>
      <c r="D15" s="9">
        <v>38</v>
      </c>
      <c r="E15" s="9">
        <v>53</v>
      </c>
      <c r="F15" s="9">
        <v>24.0702402989168</v>
      </c>
      <c r="G15" s="9">
        <v>17.75</v>
      </c>
      <c r="H15" s="29">
        <v>10</v>
      </c>
      <c r="I15" s="29">
        <v>16</v>
      </c>
      <c r="J15" s="29">
        <v>23</v>
      </c>
      <c r="K15" s="29">
        <v>28</v>
      </c>
      <c r="L15" s="29">
        <v>58.9861952861953</v>
      </c>
      <c r="M15" s="29">
        <v>44.3636363636364</v>
      </c>
      <c r="N15" s="25">
        <v>4</v>
      </c>
      <c r="O15" s="25">
        <v>13</v>
      </c>
      <c r="P15" s="25">
        <v>19</v>
      </c>
      <c r="Q15" s="25">
        <v>35</v>
      </c>
      <c r="R15" s="19">
        <v>67.0263888888889</v>
      </c>
      <c r="S15" s="19">
        <v>29.125</v>
      </c>
      <c r="T15" s="32">
        <v>5</v>
      </c>
      <c r="U15" s="32">
        <v>6</v>
      </c>
      <c r="V15" s="32">
        <v>6</v>
      </c>
      <c r="W15" s="32">
        <v>13</v>
      </c>
      <c r="X15" s="32">
        <v>91.6333333333333</v>
      </c>
      <c r="Y15" s="32">
        <v>62.7272727272727</v>
      </c>
      <c r="Z15" s="35">
        <v>28</v>
      </c>
      <c r="AA15" s="35">
        <v>55</v>
      </c>
      <c r="AB15" s="35">
        <v>70</v>
      </c>
      <c r="AC15" s="35">
        <v>97</v>
      </c>
      <c r="AD15" s="35">
        <v>41.922423818012</v>
      </c>
      <c r="AE15" s="35">
        <v>20.5490196078431</v>
      </c>
    </row>
    <row r="16" spans="1:31">
      <c r="A16" s="8" t="s">
        <v>65</v>
      </c>
      <c r="B16" s="9">
        <v>13</v>
      </c>
      <c r="C16" s="9">
        <v>28</v>
      </c>
      <c r="D16" s="9">
        <v>42</v>
      </c>
      <c r="E16" s="9">
        <v>54</v>
      </c>
      <c r="F16" s="9">
        <v>24.5539489921843</v>
      </c>
      <c r="G16" s="9">
        <v>18.6153846153846</v>
      </c>
      <c r="H16" s="29">
        <v>8</v>
      </c>
      <c r="I16" s="29">
        <v>17</v>
      </c>
      <c r="J16" s="29">
        <v>21</v>
      </c>
      <c r="K16" s="29">
        <v>30</v>
      </c>
      <c r="L16" s="29">
        <v>60.346632996633</v>
      </c>
      <c r="M16" s="29">
        <v>47.4545454545455</v>
      </c>
      <c r="N16" s="25">
        <v>5</v>
      </c>
      <c r="O16" s="25">
        <v>13</v>
      </c>
      <c r="P16" s="25">
        <v>18</v>
      </c>
      <c r="Q16" s="25">
        <v>34</v>
      </c>
      <c r="R16" s="19">
        <v>67.7256944444444</v>
      </c>
      <c r="S16" s="19">
        <v>29.8333333333333</v>
      </c>
      <c r="T16" s="32">
        <v>5</v>
      </c>
      <c r="U16" s="32">
        <v>6</v>
      </c>
      <c r="V16" s="32">
        <v>6</v>
      </c>
      <c r="W16" s="32">
        <v>12</v>
      </c>
      <c r="X16" s="32">
        <v>95.2731060606061</v>
      </c>
      <c r="Y16" s="32">
        <v>67.0909090909091</v>
      </c>
      <c r="Z16" s="35">
        <v>29</v>
      </c>
      <c r="AA16" s="35">
        <v>49</v>
      </c>
      <c r="AB16" s="35">
        <v>67</v>
      </c>
      <c r="AC16" s="35">
        <v>101</v>
      </c>
      <c r="AD16" s="35">
        <v>41.2224441544295</v>
      </c>
      <c r="AE16" s="35">
        <v>21.7352941176471</v>
      </c>
    </row>
    <row r="17" spans="1:31">
      <c r="A17" s="8" t="s">
        <v>66</v>
      </c>
      <c r="B17" s="9">
        <v>12</v>
      </c>
      <c r="C17" s="9">
        <v>27</v>
      </c>
      <c r="D17" s="9">
        <v>42</v>
      </c>
      <c r="E17" s="9">
        <v>53</v>
      </c>
      <c r="F17" s="9">
        <v>22.9209721650898</v>
      </c>
      <c r="G17" s="9">
        <v>16.6153846153846</v>
      </c>
      <c r="H17" s="29">
        <v>5</v>
      </c>
      <c r="I17" s="29">
        <v>16</v>
      </c>
      <c r="J17" s="29">
        <v>21</v>
      </c>
      <c r="K17" s="29">
        <v>30</v>
      </c>
      <c r="L17" s="29">
        <v>60.4496632996633</v>
      </c>
      <c r="M17" s="29">
        <v>45</v>
      </c>
      <c r="N17" s="25">
        <v>4</v>
      </c>
      <c r="O17" s="25">
        <v>14</v>
      </c>
      <c r="P17" s="25">
        <v>19</v>
      </c>
      <c r="Q17" s="25">
        <v>34</v>
      </c>
      <c r="R17" s="19">
        <v>67.2229166666667</v>
      </c>
      <c r="S17" s="19">
        <v>29.0416666666667</v>
      </c>
      <c r="T17" s="32">
        <v>5</v>
      </c>
      <c r="U17" s="32">
        <v>8</v>
      </c>
      <c r="V17" s="32">
        <v>8</v>
      </c>
      <c r="W17" s="32">
        <v>12</v>
      </c>
      <c r="X17" s="32">
        <v>95.0159090909091</v>
      </c>
      <c r="Y17" s="32">
        <v>65.9090909090909</v>
      </c>
      <c r="Z17" s="35">
        <v>27</v>
      </c>
      <c r="AA17" s="35">
        <v>52</v>
      </c>
      <c r="AB17" s="35">
        <v>69</v>
      </c>
      <c r="AC17" s="35">
        <v>106</v>
      </c>
      <c r="AD17" s="35">
        <v>39.1436803256656</v>
      </c>
      <c r="AE17" s="35">
        <v>20.7843137254902</v>
      </c>
    </row>
    <row r="18" spans="1:31">
      <c r="A18" s="8" t="s">
        <v>67</v>
      </c>
      <c r="B18" s="9">
        <v>14</v>
      </c>
      <c r="C18" s="9">
        <v>28</v>
      </c>
      <c r="D18" s="9">
        <v>38</v>
      </c>
      <c r="E18" s="9">
        <v>56</v>
      </c>
      <c r="F18" s="9">
        <v>24.3665038392979</v>
      </c>
      <c r="G18" s="9">
        <v>17.9615384615385</v>
      </c>
      <c r="H18" s="29">
        <v>9</v>
      </c>
      <c r="I18" s="29">
        <v>17</v>
      </c>
      <c r="J18" s="29">
        <v>23</v>
      </c>
      <c r="K18" s="29">
        <v>30</v>
      </c>
      <c r="L18" s="29">
        <v>60.6530303030303</v>
      </c>
      <c r="M18" s="29">
        <v>46</v>
      </c>
      <c r="N18" s="25">
        <v>5</v>
      </c>
      <c r="O18" s="25">
        <v>14</v>
      </c>
      <c r="P18" s="25">
        <v>18</v>
      </c>
      <c r="Q18" s="25">
        <v>33</v>
      </c>
      <c r="R18" s="19">
        <v>67.9458333333333</v>
      </c>
      <c r="S18" s="19">
        <v>29.875</v>
      </c>
      <c r="T18" s="32">
        <v>4</v>
      </c>
      <c r="U18" s="32">
        <v>6</v>
      </c>
      <c r="V18" s="32">
        <v>7</v>
      </c>
      <c r="W18" s="32">
        <v>12</v>
      </c>
      <c r="X18" s="32">
        <v>91.0651515151515</v>
      </c>
      <c r="Y18" s="32">
        <v>62.1818181818182</v>
      </c>
      <c r="Z18" s="35">
        <v>31</v>
      </c>
      <c r="AA18" s="35">
        <v>49</v>
      </c>
      <c r="AB18" s="35">
        <v>67</v>
      </c>
      <c r="AC18" s="35">
        <v>101</v>
      </c>
      <c r="AD18" s="35">
        <v>41.1809868644429</v>
      </c>
      <c r="AE18" s="35">
        <v>21.5490196078433</v>
      </c>
    </row>
    <row r="19" spans="1:31">
      <c r="A19" s="8" t="s">
        <v>68</v>
      </c>
      <c r="B19" s="9">
        <v>11</v>
      </c>
      <c r="C19" s="9">
        <v>27</v>
      </c>
      <c r="D19" s="9">
        <v>39</v>
      </c>
      <c r="E19" s="9">
        <v>55</v>
      </c>
      <c r="F19" s="9">
        <v>24.0064068284656</v>
      </c>
      <c r="G19" s="9">
        <v>17.5192307692308</v>
      </c>
      <c r="H19" s="29">
        <v>9</v>
      </c>
      <c r="I19" s="29">
        <v>18</v>
      </c>
      <c r="J19" s="29">
        <v>23</v>
      </c>
      <c r="K19" s="29">
        <v>31</v>
      </c>
      <c r="L19" s="29">
        <v>59.3707070707071</v>
      </c>
      <c r="M19" s="29">
        <v>44.6969696969697</v>
      </c>
      <c r="N19" s="25">
        <v>4</v>
      </c>
      <c r="O19" s="25">
        <v>13</v>
      </c>
      <c r="P19" s="25">
        <v>19</v>
      </c>
      <c r="Q19" s="25">
        <v>34</v>
      </c>
      <c r="R19" s="19">
        <v>67.03125</v>
      </c>
      <c r="S19" s="19">
        <v>29.0416666666667</v>
      </c>
      <c r="T19" s="32">
        <v>5</v>
      </c>
      <c r="U19" s="32">
        <v>6</v>
      </c>
      <c r="V19" s="32">
        <v>6</v>
      </c>
      <c r="W19" s="32">
        <v>14</v>
      </c>
      <c r="X19" s="32">
        <v>93.8018939393939</v>
      </c>
      <c r="Y19" s="32">
        <v>62.9545454545455</v>
      </c>
      <c r="Z19" s="35">
        <v>25</v>
      </c>
      <c r="AA19" s="35">
        <v>50</v>
      </c>
      <c r="AB19" s="35">
        <v>66</v>
      </c>
      <c r="AC19" s="35">
        <v>97</v>
      </c>
      <c r="AD19" s="35">
        <v>37.9935545935546</v>
      </c>
      <c r="AE19" s="35">
        <v>19.7352941176471</v>
      </c>
    </row>
    <row r="20" spans="1:31">
      <c r="A20" s="8" t="s">
        <v>69</v>
      </c>
      <c r="B20" s="9">
        <v>11</v>
      </c>
      <c r="C20" s="9">
        <v>28</v>
      </c>
      <c r="D20" s="9">
        <v>38</v>
      </c>
      <c r="E20" s="9">
        <v>54</v>
      </c>
      <c r="F20" s="9">
        <v>22.2852581242287</v>
      </c>
      <c r="G20" s="9">
        <v>15.8076923076923</v>
      </c>
      <c r="H20" s="29">
        <v>11</v>
      </c>
      <c r="I20" s="29">
        <v>17</v>
      </c>
      <c r="J20" s="29">
        <v>20</v>
      </c>
      <c r="K20" s="29">
        <v>29</v>
      </c>
      <c r="L20" s="29">
        <v>59.112962962963</v>
      </c>
      <c r="M20" s="29">
        <v>44.2121212121212</v>
      </c>
      <c r="N20" s="25">
        <v>5</v>
      </c>
      <c r="O20" s="25">
        <v>13</v>
      </c>
      <c r="P20" s="25">
        <v>19</v>
      </c>
      <c r="Q20" s="25">
        <v>33</v>
      </c>
      <c r="R20" s="19">
        <v>66.9222222222222</v>
      </c>
      <c r="S20" s="19">
        <v>28.9583333333333</v>
      </c>
      <c r="T20" s="32">
        <v>5</v>
      </c>
      <c r="U20" s="32">
        <v>7</v>
      </c>
      <c r="V20" s="32">
        <v>9</v>
      </c>
      <c r="W20" s="32">
        <v>13</v>
      </c>
      <c r="X20" s="32">
        <v>97.7045454545455</v>
      </c>
      <c r="Y20" s="32">
        <v>64.7727272727273</v>
      </c>
      <c r="Z20" s="35">
        <v>23</v>
      </c>
      <c r="AA20" s="35">
        <v>52</v>
      </c>
      <c r="AB20" s="35">
        <v>68</v>
      </c>
      <c r="AC20" s="35">
        <v>100</v>
      </c>
      <c r="AD20" s="35">
        <v>37.7996054735025</v>
      </c>
      <c r="AE20" s="35">
        <v>20.1470588235294</v>
      </c>
    </row>
    <row r="21" spans="1:31">
      <c r="A21" s="8" t="s">
        <v>70</v>
      </c>
      <c r="B21" s="9">
        <v>12</v>
      </c>
      <c r="C21" s="9">
        <v>26</v>
      </c>
      <c r="D21" s="9">
        <v>41</v>
      </c>
      <c r="E21" s="9">
        <v>53</v>
      </c>
      <c r="F21" s="9">
        <v>23.6519179350062</v>
      </c>
      <c r="G21" s="9">
        <v>17.2884615384615</v>
      </c>
      <c r="H21" s="29">
        <v>11</v>
      </c>
      <c r="I21" s="29">
        <v>18</v>
      </c>
      <c r="J21" s="29">
        <v>24</v>
      </c>
      <c r="K21" s="29">
        <v>27</v>
      </c>
      <c r="L21" s="29">
        <v>56.6286195286195</v>
      </c>
      <c r="M21" s="29">
        <v>43.030303030303</v>
      </c>
      <c r="N21" s="25">
        <v>4</v>
      </c>
      <c r="O21" s="25">
        <v>14</v>
      </c>
      <c r="P21" s="25">
        <v>19</v>
      </c>
      <c r="Q21" s="25">
        <v>34</v>
      </c>
      <c r="R21" s="19">
        <v>67.3034722222222</v>
      </c>
      <c r="S21" s="19">
        <v>29.2083333333333</v>
      </c>
      <c r="T21" s="32">
        <v>5</v>
      </c>
      <c r="U21" s="32">
        <v>6</v>
      </c>
      <c r="V21" s="32">
        <v>7</v>
      </c>
      <c r="W21" s="32">
        <v>11</v>
      </c>
      <c r="X21" s="32">
        <v>97.0299242424242</v>
      </c>
      <c r="Y21" s="32">
        <v>65.5454545454545</v>
      </c>
      <c r="Z21" s="35">
        <v>26</v>
      </c>
      <c r="AA21" s="35">
        <v>49</v>
      </c>
      <c r="AB21" s="35">
        <v>67</v>
      </c>
      <c r="AC21" s="35">
        <v>102</v>
      </c>
      <c r="AD21" s="35">
        <v>41.5813016368163</v>
      </c>
      <c r="AE21" s="35">
        <v>20.6764705882353</v>
      </c>
    </row>
    <row r="22" ht="14.75" spans="1:31">
      <c r="A22" s="8" t="s">
        <v>71</v>
      </c>
      <c r="B22" s="9">
        <v>13</v>
      </c>
      <c r="C22" s="9">
        <v>28</v>
      </c>
      <c r="D22" s="9">
        <v>38</v>
      </c>
      <c r="E22" s="9">
        <v>57</v>
      </c>
      <c r="F22" s="9">
        <v>23.0277869189634</v>
      </c>
      <c r="G22" s="9">
        <v>15.9807692307692</v>
      </c>
      <c r="H22" s="29">
        <v>10</v>
      </c>
      <c r="I22" s="29">
        <v>16</v>
      </c>
      <c r="J22" s="29">
        <v>22</v>
      </c>
      <c r="K22" s="29">
        <v>31</v>
      </c>
      <c r="L22" s="29">
        <v>56.0207070707071</v>
      </c>
      <c r="M22" s="29">
        <v>40.8181818181818</v>
      </c>
      <c r="N22" s="25">
        <v>5</v>
      </c>
      <c r="O22" s="25">
        <v>13</v>
      </c>
      <c r="P22" s="25">
        <v>19</v>
      </c>
      <c r="Q22" s="25">
        <v>34</v>
      </c>
      <c r="R22" s="19">
        <v>66.9506944444444</v>
      </c>
      <c r="S22" s="19">
        <v>29</v>
      </c>
      <c r="T22" s="32">
        <v>5</v>
      </c>
      <c r="U22" s="32">
        <v>6</v>
      </c>
      <c r="V22" s="32">
        <v>7</v>
      </c>
      <c r="W22" s="32">
        <v>14</v>
      </c>
      <c r="X22" s="32">
        <v>93.6507575757576</v>
      </c>
      <c r="Y22" s="32">
        <v>62.8636363636364</v>
      </c>
      <c r="Z22" s="35">
        <v>26</v>
      </c>
      <c r="AA22" s="35">
        <v>52</v>
      </c>
      <c r="AB22" s="35">
        <v>69</v>
      </c>
      <c r="AC22" s="35">
        <v>98</v>
      </c>
      <c r="AD22" s="35">
        <v>44.7797914367767</v>
      </c>
      <c r="AE22" s="35">
        <v>23.156862745098</v>
      </c>
    </row>
    <row r="23" ht="14.75" spans="1:31">
      <c r="A23" s="2" t="s">
        <v>18</v>
      </c>
      <c r="B23" s="12">
        <v>15</v>
      </c>
      <c r="C23" s="12">
        <v>28</v>
      </c>
      <c r="D23" s="12">
        <v>41</v>
      </c>
      <c r="E23" s="12">
        <v>53</v>
      </c>
      <c r="F23" s="13">
        <v>24.66</v>
      </c>
      <c r="G23" s="14">
        <v>18.35</v>
      </c>
      <c r="H23" s="14">
        <v>11</v>
      </c>
      <c r="I23" s="14">
        <v>17</v>
      </c>
      <c r="J23" s="14">
        <v>20</v>
      </c>
      <c r="K23" s="14">
        <v>29</v>
      </c>
      <c r="L23" s="14">
        <v>59.11</v>
      </c>
      <c r="M23" s="14">
        <v>44.21</v>
      </c>
      <c r="N23" s="21">
        <v>5</v>
      </c>
      <c r="O23" s="21">
        <v>14</v>
      </c>
      <c r="P23" s="21">
        <v>19</v>
      </c>
      <c r="Q23" s="21">
        <v>35</v>
      </c>
      <c r="R23" s="21">
        <v>67.2368055555556</v>
      </c>
      <c r="S23" s="21">
        <v>28.625</v>
      </c>
      <c r="T23" s="26">
        <v>5</v>
      </c>
      <c r="U23" s="26">
        <v>6</v>
      </c>
      <c r="V23" s="26">
        <v>8</v>
      </c>
      <c r="W23" s="26">
        <v>15</v>
      </c>
      <c r="X23" s="26">
        <v>95.16</v>
      </c>
      <c r="Y23" s="26">
        <v>66.41</v>
      </c>
      <c r="Z23" s="26">
        <v>31</v>
      </c>
      <c r="AA23" s="26">
        <v>49</v>
      </c>
      <c r="AB23" s="26">
        <v>67</v>
      </c>
      <c r="AC23" s="26">
        <v>101</v>
      </c>
      <c r="AD23" s="26">
        <v>41.18</v>
      </c>
      <c r="AE23" s="26">
        <v>21.55</v>
      </c>
    </row>
    <row r="24" spans="1:31">
      <c r="A24" s="15" t="s">
        <v>31</v>
      </c>
      <c r="B24" s="2">
        <f>(B3-B23)/B23</f>
        <v>-0.2</v>
      </c>
      <c r="C24" s="2">
        <f t="shared" ref="C24:AE24" si="0">(C3-C23)/C23</f>
        <v>-0.0357142857142857</v>
      </c>
      <c r="D24" s="2">
        <f t="shared" si="0"/>
        <v>-0.024390243902439</v>
      </c>
      <c r="E24" s="2">
        <f t="shared" si="0"/>
        <v>0.0566037735849057</v>
      </c>
      <c r="F24" s="2">
        <f t="shared" si="0"/>
        <v>-0.0565287248413058</v>
      </c>
      <c r="G24" s="2">
        <f t="shared" si="0"/>
        <v>-0.0526095158247739</v>
      </c>
      <c r="H24" s="2">
        <f t="shared" si="0"/>
        <v>-0.0909090909090909</v>
      </c>
      <c r="I24" s="2">
        <f t="shared" si="0"/>
        <v>-0.117647058823529</v>
      </c>
      <c r="J24" s="2">
        <f t="shared" si="0"/>
        <v>0.1</v>
      </c>
      <c r="K24" s="2">
        <f t="shared" si="0"/>
        <v>0</v>
      </c>
      <c r="L24" s="2">
        <f t="shared" si="0"/>
        <v>0.0155237595603011</v>
      </c>
      <c r="M24" s="2">
        <f t="shared" si="0"/>
        <v>0.01581295881228</v>
      </c>
      <c r="N24" s="2">
        <f t="shared" si="0"/>
        <v>-0.2</v>
      </c>
      <c r="O24" s="2">
        <f t="shared" si="0"/>
        <v>0</v>
      </c>
      <c r="P24" s="2">
        <f t="shared" si="0"/>
        <v>0</v>
      </c>
      <c r="Q24" s="2">
        <f t="shared" si="0"/>
        <v>-0.0285714285714286</v>
      </c>
      <c r="R24" s="2">
        <f t="shared" si="0"/>
        <v>-0.00418297683353818</v>
      </c>
      <c r="S24" s="2">
        <f t="shared" si="0"/>
        <v>0.0160116448326044</v>
      </c>
      <c r="T24" s="2">
        <f t="shared" si="0"/>
        <v>0</v>
      </c>
      <c r="U24" s="2">
        <f t="shared" si="0"/>
        <v>0</v>
      </c>
      <c r="V24" s="2">
        <f t="shared" si="0"/>
        <v>0</v>
      </c>
      <c r="W24" s="2">
        <f t="shared" si="0"/>
        <v>-0.0666666666666667</v>
      </c>
      <c r="X24" s="2">
        <f t="shared" si="0"/>
        <v>-0.0677582890697645</v>
      </c>
      <c r="Y24" s="2">
        <f t="shared" si="0"/>
        <v>-0.173180380829831</v>
      </c>
      <c r="Z24" s="2">
        <f t="shared" si="0"/>
        <v>-0.193548387096774</v>
      </c>
      <c r="AA24" s="2">
        <f t="shared" si="0"/>
        <v>0.102040816326531</v>
      </c>
      <c r="AB24" s="2">
        <f t="shared" si="0"/>
        <v>0.0895522388059701</v>
      </c>
      <c r="AC24" s="2">
        <f t="shared" si="0"/>
        <v>0.0396039603960396</v>
      </c>
      <c r="AD24" s="2">
        <f t="shared" si="0"/>
        <v>-0.0533605846221903</v>
      </c>
      <c r="AE24" s="2">
        <f t="shared" si="0"/>
        <v>-0.129247986897777</v>
      </c>
    </row>
    <row r="25" spans="1:31">
      <c r="A25" s="15"/>
      <c r="B25" s="2">
        <f>(B4-B23)/B23</f>
        <v>-0.2</v>
      </c>
      <c r="C25" s="2">
        <f t="shared" ref="C25:AE25" si="1">(C4-C23)/C23</f>
        <v>0</v>
      </c>
      <c r="D25" s="2">
        <f t="shared" si="1"/>
        <v>-0.024390243902439</v>
      </c>
      <c r="E25" s="2">
        <f t="shared" si="1"/>
        <v>0.0377358490566038</v>
      </c>
      <c r="F25" s="2">
        <f t="shared" si="1"/>
        <v>-0.0322379284916869</v>
      </c>
      <c r="G25" s="2">
        <f t="shared" si="1"/>
        <v>-0.0568015091175859</v>
      </c>
      <c r="H25" s="2">
        <f t="shared" si="1"/>
        <v>-0.272727272727273</v>
      </c>
      <c r="I25" s="2">
        <f t="shared" si="1"/>
        <v>0</v>
      </c>
      <c r="J25" s="2">
        <f t="shared" si="1"/>
        <v>0.2</v>
      </c>
      <c r="K25" s="2">
        <f t="shared" si="1"/>
        <v>0.0689655172413793</v>
      </c>
      <c r="L25" s="2">
        <f t="shared" si="1"/>
        <v>0.0120975160731551</v>
      </c>
      <c r="M25" s="2">
        <f t="shared" si="1"/>
        <v>0.0069023188226985</v>
      </c>
      <c r="N25" s="2">
        <f t="shared" si="1"/>
        <v>-0.2</v>
      </c>
      <c r="O25" s="2">
        <f t="shared" si="1"/>
        <v>-0.0714285714285714</v>
      </c>
      <c r="P25" s="2">
        <f t="shared" si="1"/>
        <v>0</v>
      </c>
      <c r="Q25" s="2">
        <f t="shared" si="1"/>
        <v>-0.0285714285714286</v>
      </c>
      <c r="R25" s="2">
        <f t="shared" si="1"/>
        <v>-0.0021999359643058</v>
      </c>
      <c r="S25" s="2">
        <f t="shared" si="1"/>
        <v>0.0174672489082969</v>
      </c>
      <c r="T25" s="2">
        <f t="shared" si="1"/>
        <v>0</v>
      </c>
      <c r="U25" s="2">
        <f t="shared" si="1"/>
        <v>-0.166666666666667</v>
      </c>
      <c r="V25" s="2">
        <f t="shared" si="1"/>
        <v>-0.125</v>
      </c>
      <c r="W25" s="2">
        <f t="shared" si="1"/>
        <v>-0.133333333333333</v>
      </c>
      <c r="X25" s="2">
        <f t="shared" si="1"/>
        <v>-0.0202107773829088</v>
      </c>
      <c r="Y25" s="2">
        <f t="shared" si="1"/>
        <v>-0.0670901151250489</v>
      </c>
      <c r="Z25" s="2">
        <f t="shared" si="1"/>
        <v>-0.258064516129032</v>
      </c>
      <c r="AA25" s="2">
        <f t="shared" si="1"/>
        <v>0.122448979591837</v>
      </c>
      <c r="AB25" s="2">
        <f t="shared" si="1"/>
        <v>0.0298507462686567</v>
      </c>
      <c r="AC25" s="2">
        <f t="shared" si="1"/>
        <v>0</v>
      </c>
      <c r="AD25" s="2">
        <f t="shared" si="1"/>
        <v>0.00392581103163191</v>
      </c>
      <c r="AE25" s="2">
        <f t="shared" si="1"/>
        <v>0.00040944452026911</v>
      </c>
    </row>
    <row r="26" spans="1:31">
      <c r="A26" s="15"/>
      <c r="B26" s="2">
        <f>(B5-B23)/B23</f>
        <v>-0.2</v>
      </c>
      <c r="C26" s="2">
        <f t="shared" ref="C26:AE26" si="2">(C5-C23)/C23</f>
        <v>-0.0714285714285714</v>
      </c>
      <c r="D26" s="2">
        <f t="shared" si="2"/>
        <v>0.024390243902439</v>
      </c>
      <c r="E26" s="2">
        <f t="shared" si="2"/>
        <v>0.0377358490566038</v>
      </c>
      <c r="F26" s="2">
        <f t="shared" si="2"/>
        <v>-0.0157522395070681</v>
      </c>
      <c r="G26" s="2">
        <f t="shared" si="2"/>
        <v>-0.0326975476839238</v>
      </c>
      <c r="H26" s="2">
        <f t="shared" si="2"/>
        <v>-0.181818181818182</v>
      </c>
      <c r="I26" s="2">
        <f t="shared" si="2"/>
        <v>-0.117647058823529</v>
      </c>
      <c r="J26" s="2">
        <f t="shared" si="2"/>
        <v>0.05</v>
      </c>
      <c r="K26" s="2">
        <f t="shared" si="2"/>
        <v>0.0344827586206897</v>
      </c>
      <c r="L26" s="2">
        <f t="shared" si="2"/>
        <v>0.0135272535881576</v>
      </c>
      <c r="M26" s="2">
        <f t="shared" si="2"/>
        <v>0.00347514959593761</v>
      </c>
      <c r="N26" s="2">
        <f t="shared" si="2"/>
        <v>-0.2</v>
      </c>
      <c r="O26" s="2">
        <f t="shared" si="2"/>
        <v>0</v>
      </c>
      <c r="P26" s="2">
        <f t="shared" si="2"/>
        <v>0</v>
      </c>
      <c r="Q26" s="2">
        <f t="shared" si="2"/>
        <v>-0.0285714285714286</v>
      </c>
      <c r="R26" s="2">
        <f t="shared" si="2"/>
        <v>-0.00381115667055713</v>
      </c>
      <c r="S26" s="2">
        <f t="shared" si="2"/>
        <v>0.0145560407569153</v>
      </c>
      <c r="T26" s="2">
        <f t="shared" si="2"/>
        <v>0</v>
      </c>
      <c r="U26" s="2">
        <f t="shared" si="2"/>
        <v>0</v>
      </c>
      <c r="V26" s="2">
        <f t="shared" si="2"/>
        <v>0</v>
      </c>
      <c r="W26" s="2">
        <f t="shared" si="2"/>
        <v>-0.2</v>
      </c>
      <c r="X26" s="2">
        <f t="shared" si="2"/>
        <v>0.0561518399633145</v>
      </c>
      <c r="Y26" s="2">
        <f t="shared" si="2"/>
        <v>0.092387510095686</v>
      </c>
      <c r="Z26" s="2">
        <f t="shared" si="2"/>
        <v>-0.32258064516129</v>
      </c>
      <c r="AA26" s="2">
        <f t="shared" si="2"/>
        <v>-0.0204081632653061</v>
      </c>
      <c r="AB26" s="2">
        <f t="shared" si="2"/>
        <v>0.0447761194029851</v>
      </c>
      <c r="AC26" s="2">
        <f t="shared" si="2"/>
        <v>-0.0099009900990099</v>
      </c>
      <c r="AD26" s="2">
        <f t="shared" si="2"/>
        <v>-0.0740854710907286</v>
      </c>
      <c r="AE26" s="2">
        <f t="shared" si="2"/>
        <v>-0.14790045948774</v>
      </c>
    </row>
    <row r="27" spans="1:31">
      <c r="A27" s="15"/>
      <c r="B27" s="2">
        <f>(B6-B23)/B23</f>
        <v>-0.0666666666666667</v>
      </c>
      <c r="C27" s="2">
        <f t="shared" ref="C27:AE27" si="3">(C6-C23)/C23</f>
        <v>0.0357142857142857</v>
      </c>
      <c r="D27" s="2">
        <f t="shared" si="3"/>
        <v>0.0487804878048781</v>
      </c>
      <c r="E27" s="2">
        <f t="shared" si="3"/>
        <v>0.0566037735849057</v>
      </c>
      <c r="F27" s="2">
        <f t="shared" si="3"/>
        <v>-0.0190124706011354</v>
      </c>
      <c r="G27" s="2">
        <f t="shared" si="3"/>
        <v>-0.0651854957032099</v>
      </c>
      <c r="H27" s="2">
        <f t="shared" si="3"/>
        <v>-0.454545454545455</v>
      </c>
      <c r="I27" s="2">
        <f t="shared" si="3"/>
        <v>-0.117647058823529</v>
      </c>
      <c r="J27" s="2">
        <f t="shared" si="3"/>
        <v>0.05</v>
      </c>
      <c r="K27" s="2">
        <f t="shared" si="3"/>
        <v>-0.103448275862069</v>
      </c>
      <c r="L27" s="2">
        <f t="shared" si="3"/>
        <v>0.00249378121142615</v>
      </c>
      <c r="M27" s="2">
        <f t="shared" si="3"/>
        <v>-0.034223711898446</v>
      </c>
      <c r="N27" s="2">
        <f t="shared" si="3"/>
        <v>0</v>
      </c>
      <c r="O27" s="2">
        <f t="shared" si="3"/>
        <v>0</v>
      </c>
      <c r="P27" s="2">
        <f t="shared" si="3"/>
        <v>-0.105263157894737</v>
      </c>
      <c r="Q27" s="2">
        <f t="shared" si="3"/>
        <v>-0.0571428571428571</v>
      </c>
      <c r="R27" s="2">
        <f t="shared" si="3"/>
        <v>-0.00469939372656873</v>
      </c>
      <c r="S27" s="2">
        <f t="shared" si="3"/>
        <v>0.0174672489082969</v>
      </c>
      <c r="T27" s="2">
        <f t="shared" si="3"/>
        <v>0</v>
      </c>
      <c r="U27" s="2">
        <f t="shared" si="3"/>
        <v>0.166666666666667</v>
      </c>
      <c r="V27" s="2">
        <f t="shared" si="3"/>
        <v>0</v>
      </c>
      <c r="W27" s="2">
        <f t="shared" si="3"/>
        <v>-0.2</v>
      </c>
      <c r="X27" s="2">
        <f t="shared" si="3"/>
        <v>0.0415353089533417</v>
      </c>
      <c r="Y27" s="2">
        <f t="shared" si="3"/>
        <v>0.0718539102818582</v>
      </c>
      <c r="Z27" s="2">
        <f t="shared" si="3"/>
        <v>-0.161290322580645</v>
      </c>
      <c r="AA27" s="2">
        <f t="shared" si="3"/>
        <v>0.102040816326531</v>
      </c>
      <c r="AB27" s="2">
        <f t="shared" si="3"/>
        <v>0.0298507462686567</v>
      </c>
      <c r="AC27" s="2">
        <f t="shared" si="3"/>
        <v>-0.0099009900990099</v>
      </c>
      <c r="AD27" s="2">
        <f t="shared" si="3"/>
        <v>0.0290749729869232</v>
      </c>
      <c r="AE27" s="2">
        <f t="shared" si="3"/>
        <v>-0.0673763705017959</v>
      </c>
    </row>
    <row r="28" spans="1:31">
      <c r="A28" s="15"/>
      <c r="B28" s="2">
        <f>(B7-B23)/B23</f>
        <v>-0.266666666666667</v>
      </c>
      <c r="C28" s="2">
        <f t="shared" ref="C28:AE28" si="4">(C7-C23)/C23</f>
        <v>-0.0357142857142857</v>
      </c>
      <c r="D28" s="2">
        <f t="shared" si="4"/>
        <v>0.024390243902439</v>
      </c>
      <c r="E28" s="2">
        <f t="shared" si="4"/>
        <v>0</v>
      </c>
      <c r="F28" s="2">
        <f t="shared" si="4"/>
        <v>-0.0635074973846999</v>
      </c>
      <c r="G28" s="2">
        <f t="shared" si="4"/>
        <v>-0.0788094739048448</v>
      </c>
      <c r="H28" s="2">
        <f t="shared" si="4"/>
        <v>-0.181818181818182</v>
      </c>
      <c r="I28" s="2">
        <f t="shared" si="4"/>
        <v>-0.176470588235294</v>
      </c>
      <c r="J28" s="2">
        <f t="shared" si="4"/>
        <v>-0.05</v>
      </c>
      <c r="K28" s="2">
        <f t="shared" si="4"/>
        <v>0.0344827586206897</v>
      </c>
      <c r="L28" s="2">
        <f t="shared" si="4"/>
        <v>0.0206702449977703</v>
      </c>
      <c r="M28" s="2">
        <f t="shared" si="4"/>
        <v>0.059680724914836</v>
      </c>
      <c r="N28" s="2">
        <f t="shared" si="4"/>
        <v>-0.2</v>
      </c>
      <c r="O28" s="2">
        <f t="shared" si="4"/>
        <v>-0.0714285714285714</v>
      </c>
      <c r="P28" s="2">
        <f t="shared" si="4"/>
        <v>0</v>
      </c>
      <c r="Q28" s="2">
        <f t="shared" si="4"/>
        <v>-0.0285714285714286</v>
      </c>
      <c r="R28" s="2">
        <f t="shared" si="4"/>
        <v>-0.00600076429700291</v>
      </c>
      <c r="S28" s="2">
        <f t="shared" si="4"/>
        <v>0.0116448326055301</v>
      </c>
      <c r="T28" s="2">
        <f t="shared" si="4"/>
        <v>0</v>
      </c>
      <c r="U28" s="2">
        <f t="shared" si="4"/>
        <v>0.166666666666667</v>
      </c>
      <c r="V28" s="2">
        <f t="shared" si="4"/>
        <v>0</v>
      </c>
      <c r="W28" s="2">
        <f t="shared" si="4"/>
        <v>-0.2</v>
      </c>
      <c r="X28" s="2">
        <f t="shared" si="4"/>
        <v>0.100260167883123</v>
      </c>
      <c r="Y28" s="2">
        <f t="shared" si="4"/>
        <v>0.11155220325526</v>
      </c>
      <c r="Z28" s="2">
        <f t="shared" si="4"/>
        <v>-0.258064516129032</v>
      </c>
      <c r="AA28" s="2">
        <f t="shared" si="4"/>
        <v>0.0408163265306122</v>
      </c>
      <c r="AB28" s="2">
        <f t="shared" si="4"/>
        <v>0.0447761194029851</v>
      </c>
      <c r="AC28" s="2">
        <f t="shared" si="4"/>
        <v>0</v>
      </c>
      <c r="AD28" s="2">
        <f t="shared" si="4"/>
        <v>0.0317778566482249</v>
      </c>
      <c r="AE28" s="2">
        <f t="shared" si="4"/>
        <v>-0.0355306855921021</v>
      </c>
    </row>
    <row r="29" spans="1:31">
      <c r="A29" s="15"/>
      <c r="B29" s="2">
        <f>(B8-B23)/B23</f>
        <v>-0.0666666666666667</v>
      </c>
      <c r="C29" s="2">
        <f t="shared" ref="C29:AE29" si="5">(C8-C23)/C23</f>
        <v>0</v>
      </c>
      <c r="D29" s="2">
        <f t="shared" si="5"/>
        <v>-0.0487804878048781</v>
      </c>
      <c r="E29" s="2">
        <f t="shared" si="5"/>
        <v>0.0188679245283019</v>
      </c>
      <c r="F29" s="2">
        <f t="shared" si="5"/>
        <v>-0.0676300664493025</v>
      </c>
      <c r="G29" s="2">
        <f t="shared" si="5"/>
        <v>-0.102913435338501</v>
      </c>
      <c r="H29" s="2">
        <f t="shared" si="5"/>
        <v>-0.363636363636364</v>
      </c>
      <c r="I29" s="2">
        <f t="shared" si="5"/>
        <v>-0.117647058823529</v>
      </c>
      <c r="J29" s="2">
        <f t="shared" si="5"/>
        <v>-0.05</v>
      </c>
      <c r="K29" s="2">
        <f t="shared" si="5"/>
        <v>-0.0344827586206897</v>
      </c>
      <c r="L29" s="2">
        <f t="shared" si="5"/>
        <v>0.0264603971252597</v>
      </c>
      <c r="M29" s="2">
        <f t="shared" si="5"/>
        <v>0.0679059310590635</v>
      </c>
      <c r="N29" s="2">
        <f t="shared" si="5"/>
        <v>-0.2</v>
      </c>
      <c r="O29" s="2">
        <f t="shared" si="5"/>
        <v>-0.0714285714285714</v>
      </c>
      <c r="P29" s="2">
        <f t="shared" si="5"/>
        <v>0</v>
      </c>
      <c r="Q29" s="2">
        <f t="shared" si="5"/>
        <v>-0.0285714285714286</v>
      </c>
      <c r="R29" s="2">
        <f t="shared" si="5"/>
        <v>-0.00847956538354307</v>
      </c>
      <c r="S29" s="2">
        <f t="shared" si="5"/>
        <v>0.00873362445414847</v>
      </c>
      <c r="T29" s="2">
        <f t="shared" si="5"/>
        <v>0</v>
      </c>
      <c r="U29" s="2">
        <f t="shared" si="5"/>
        <v>0</v>
      </c>
      <c r="V29" s="2">
        <f t="shared" si="5"/>
        <v>-0.125</v>
      </c>
      <c r="W29" s="2">
        <f t="shared" si="5"/>
        <v>-0.0666666666666667</v>
      </c>
      <c r="X29" s="2">
        <f t="shared" si="5"/>
        <v>0.0396007680843748</v>
      </c>
      <c r="Y29" s="2">
        <f t="shared" si="5"/>
        <v>0.00546193755047882</v>
      </c>
      <c r="Z29" s="2">
        <f t="shared" si="5"/>
        <v>-0.193548387096774</v>
      </c>
      <c r="AA29" s="2">
        <f t="shared" si="5"/>
        <v>0.0612244897959184</v>
      </c>
      <c r="AB29" s="2">
        <f t="shared" si="5"/>
        <v>-0.0298507462686567</v>
      </c>
      <c r="AC29" s="2">
        <f t="shared" si="5"/>
        <v>0.0099009900990099</v>
      </c>
      <c r="AD29" s="2">
        <f t="shared" si="5"/>
        <v>0.0138291357133318</v>
      </c>
      <c r="AE29" s="2">
        <f t="shared" si="5"/>
        <v>0.0563668622901577</v>
      </c>
    </row>
    <row r="30" spans="1:31">
      <c r="A30" s="15"/>
      <c r="B30" s="2">
        <f>(B9-B23)/B23</f>
        <v>-0.266666666666667</v>
      </c>
      <c r="C30" s="2">
        <f t="shared" ref="C30:AE30" si="6">(C9-C23)/C23</f>
        <v>0.0714285714285714</v>
      </c>
      <c r="D30" s="2">
        <f t="shared" si="6"/>
        <v>-0.024390243902439</v>
      </c>
      <c r="E30" s="2">
        <f t="shared" si="6"/>
        <v>0.0377358490566038</v>
      </c>
      <c r="F30" s="2">
        <f t="shared" si="6"/>
        <v>-0.0928023839144484</v>
      </c>
      <c r="G30" s="2">
        <f t="shared" si="6"/>
        <v>-0.142737371620207</v>
      </c>
      <c r="H30" s="2">
        <f t="shared" si="6"/>
        <v>-0.272727272727273</v>
      </c>
      <c r="I30" s="2">
        <f t="shared" si="6"/>
        <v>0</v>
      </c>
      <c r="J30" s="2">
        <f t="shared" si="6"/>
        <v>0.15</v>
      </c>
      <c r="K30" s="2">
        <f t="shared" si="6"/>
        <v>-0.0344827586206897</v>
      </c>
      <c r="L30" s="2">
        <f t="shared" si="6"/>
        <v>0.0531811090092268</v>
      </c>
      <c r="M30" s="2">
        <f t="shared" si="6"/>
        <v>0.117257167924438</v>
      </c>
      <c r="N30" s="2">
        <f t="shared" si="6"/>
        <v>0</v>
      </c>
      <c r="O30" s="2">
        <f t="shared" si="6"/>
        <v>-0.0714285714285714</v>
      </c>
      <c r="P30" s="2">
        <f t="shared" si="6"/>
        <v>0</v>
      </c>
      <c r="Q30" s="2">
        <f t="shared" si="6"/>
        <v>-0.0285714285714286</v>
      </c>
      <c r="R30" s="2">
        <f t="shared" si="6"/>
        <v>-0.00451348364507831</v>
      </c>
      <c r="S30" s="2">
        <f t="shared" si="6"/>
        <v>0.0116448326055301</v>
      </c>
      <c r="T30" s="2">
        <f t="shared" si="6"/>
        <v>0</v>
      </c>
      <c r="U30" s="2">
        <f t="shared" si="6"/>
        <v>0</v>
      </c>
      <c r="V30" s="2">
        <f t="shared" si="6"/>
        <v>-0.25</v>
      </c>
      <c r="W30" s="2">
        <f t="shared" si="6"/>
        <v>0</v>
      </c>
      <c r="X30" s="2">
        <f t="shared" si="6"/>
        <v>-0.0264044925930171</v>
      </c>
      <c r="Y30" s="2">
        <f t="shared" si="6"/>
        <v>-0.0609300351809004</v>
      </c>
      <c r="Z30" s="2">
        <f t="shared" si="6"/>
        <v>-0.161290322580645</v>
      </c>
      <c r="AA30" s="2">
        <f t="shared" si="6"/>
        <v>0.0204081632653061</v>
      </c>
      <c r="AB30" s="2">
        <f t="shared" si="6"/>
        <v>-0.0298507462686567</v>
      </c>
      <c r="AC30" s="2">
        <f t="shared" si="6"/>
        <v>-0.0099009900990099</v>
      </c>
      <c r="AD30" s="2">
        <f t="shared" si="6"/>
        <v>-0.0239729091041841</v>
      </c>
      <c r="AE30" s="2">
        <f t="shared" si="6"/>
        <v>-0.0268868568309002</v>
      </c>
    </row>
    <row r="31" spans="1:31">
      <c r="A31" s="15"/>
      <c r="B31" s="2">
        <f>(B10-B23)/B23</f>
        <v>-0.266666666666667</v>
      </c>
      <c r="C31" s="2">
        <f t="shared" ref="C31:AE31" si="7">(C10-C23)/C23</f>
        <v>-0.0357142857142857</v>
      </c>
      <c r="D31" s="2">
        <f t="shared" si="7"/>
        <v>-0.024390243902439</v>
      </c>
      <c r="E31" s="2">
        <f t="shared" si="7"/>
        <v>0.0188679245283019</v>
      </c>
      <c r="F31" s="2">
        <f t="shared" si="7"/>
        <v>-0.0257584042470276</v>
      </c>
      <c r="G31" s="2">
        <f t="shared" si="7"/>
        <v>-0.0368895409767359</v>
      </c>
      <c r="H31" s="2">
        <f t="shared" si="7"/>
        <v>-0.181818181818182</v>
      </c>
      <c r="I31" s="2">
        <f t="shared" si="7"/>
        <v>-0.117647058823529</v>
      </c>
      <c r="J31" s="2">
        <f t="shared" si="7"/>
        <v>-0.05</v>
      </c>
      <c r="K31" s="2">
        <f t="shared" si="7"/>
        <v>0</v>
      </c>
      <c r="L31" s="2">
        <f t="shared" si="7"/>
        <v>-0.0178358330955185</v>
      </c>
      <c r="M31" s="2">
        <f t="shared" si="7"/>
        <v>-0.016402431919283</v>
      </c>
      <c r="N31" s="2">
        <f t="shared" si="7"/>
        <v>-0.2</v>
      </c>
      <c r="O31" s="2">
        <f t="shared" si="7"/>
        <v>-0.0714285714285714</v>
      </c>
      <c r="P31" s="2">
        <f t="shared" si="7"/>
        <v>0</v>
      </c>
      <c r="Q31" s="2">
        <f t="shared" si="7"/>
        <v>-0.0285714285714286</v>
      </c>
      <c r="R31" s="2">
        <f t="shared" si="7"/>
        <v>-0.00475103541587134</v>
      </c>
      <c r="S31" s="2">
        <f t="shared" si="7"/>
        <v>0.0145560407569153</v>
      </c>
      <c r="T31" s="2">
        <f t="shared" si="7"/>
        <v>0</v>
      </c>
      <c r="U31" s="2">
        <f t="shared" si="7"/>
        <v>0</v>
      </c>
      <c r="V31" s="2">
        <f t="shared" si="7"/>
        <v>-0.25</v>
      </c>
      <c r="W31" s="2">
        <f t="shared" si="7"/>
        <v>-0.0666666666666667</v>
      </c>
      <c r="X31" s="2">
        <f t="shared" si="7"/>
        <v>-0.0138538601653352</v>
      </c>
      <c r="Y31" s="2">
        <f t="shared" si="7"/>
        <v>-0.0390275287128173</v>
      </c>
      <c r="Z31" s="2">
        <f t="shared" si="7"/>
        <v>-0.258064516129032</v>
      </c>
      <c r="AA31" s="2">
        <f t="shared" si="7"/>
        <v>0.0816326530612245</v>
      </c>
      <c r="AB31" s="2">
        <f t="shared" si="7"/>
        <v>0.0597014925373134</v>
      </c>
      <c r="AC31" s="2">
        <f t="shared" si="7"/>
        <v>0.0099009900990099</v>
      </c>
      <c r="AD31" s="2">
        <f t="shared" si="7"/>
        <v>0.130079585908371</v>
      </c>
      <c r="AE31" s="2">
        <f t="shared" si="7"/>
        <v>0.100950821163731</v>
      </c>
    </row>
    <row r="32" spans="1:31">
      <c r="A32" s="15"/>
      <c r="B32" s="2">
        <f>(B11-B23)/B23</f>
        <v>0</v>
      </c>
      <c r="C32" s="2">
        <f t="shared" ref="C32:AE32" si="8">(C11-C23)/C23</f>
        <v>-0.0357142857142857</v>
      </c>
      <c r="D32" s="2">
        <f t="shared" si="8"/>
        <v>0.0487804878048781</v>
      </c>
      <c r="E32" s="2">
        <f t="shared" si="8"/>
        <v>0</v>
      </c>
      <c r="F32" s="2">
        <f t="shared" si="8"/>
        <v>-0.0765847724306286</v>
      </c>
      <c r="G32" s="2">
        <f t="shared" si="8"/>
        <v>-0.110249423600921</v>
      </c>
      <c r="H32" s="2">
        <f t="shared" si="8"/>
        <v>-0.181818181818182</v>
      </c>
      <c r="I32" s="2">
        <f t="shared" si="8"/>
        <v>0</v>
      </c>
      <c r="J32" s="2">
        <f t="shared" si="8"/>
        <v>0.25</v>
      </c>
      <c r="K32" s="2">
        <f t="shared" si="8"/>
        <v>0.0689655172413793</v>
      </c>
      <c r="L32" s="2">
        <f t="shared" si="8"/>
        <v>0.0412020731763576</v>
      </c>
      <c r="M32" s="2">
        <f t="shared" si="8"/>
        <v>0.0733894018218842</v>
      </c>
      <c r="N32" s="2">
        <f t="shared" si="8"/>
        <v>-0.2</v>
      </c>
      <c r="O32" s="2">
        <f t="shared" si="8"/>
        <v>-0.0714285714285714</v>
      </c>
      <c r="P32" s="2">
        <f t="shared" si="8"/>
        <v>-0.0526315789473684</v>
      </c>
      <c r="Q32" s="2">
        <f t="shared" si="8"/>
        <v>0</v>
      </c>
      <c r="R32" s="2">
        <f t="shared" si="8"/>
        <v>-0.00655849454147459</v>
      </c>
      <c r="S32" s="2">
        <f t="shared" si="8"/>
        <v>0.0131004366812227</v>
      </c>
      <c r="T32" s="2">
        <f t="shared" si="8"/>
        <v>0</v>
      </c>
      <c r="U32" s="2">
        <f t="shared" si="8"/>
        <v>0</v>
      </c>
      <c r="V32" s="2">
        <f t="shared" si="8"/>
        <v>0</v>
      </c>
      <c r="W32" s="2">
        <f t="shared" si="8"/>
        <v>-0.133333333333333</v>
      </c>
      <c r="X32" s="2">
        <f t="shared" si="8"/>
        <v>-0.0191519546027742</v>
      </c>
      <c r="Y32" s="2">
        <f t="shared" si="8"/>
        <v>-0.0575077685452627</v>
      </c>
      <c r="Z32" s="2">
        <f t="shared" si="8"/>
        <v>-0.290322580645161</v>
      </c>
      <c r="AA32" s="2">
        <f t="shared" si="8"/>
        <v>0.0612244897959184</v>
      </c>
      <c r="AB32" s="2">
        <f t="shared" si="8"/>
        <v>-0.0298507462686567</v>
      </c>
      <c r="AC32" s="2">
        <f t="shared" si="8"/>
        <v>-0.0099009900990099</v>
      </c>
      <c r="AD32" s="2">
        <f t="shared" si="8"/>
        <v>-0.0350947569435988</v>
      </c>
      <c r="AE32" s="2">
        <f t="shared" si="8"/>
        <v>-0.120149219780719</v>
      </c>
    </row>
    <row r="33" spans="1:31">
      <c r="A33" s="15"/>
      <c r="B33" s="2">
        <f>(B12-B23)/B23</f>
        <v>-0.133333333333333</v>
      </c>
      <c r="C33" s="2">
        <f t="shared" ref="C33:AE33" si="9">(C12-C23)/C23</f>
        <v>-0.0357142857142857</v>
      </c>
      <c r="D33" s="2">
        <f t="shared" si="9"/>
        <v>0</v>
      </c>
      <c r="E33" s="2">
        <f t="shared" si="9"/>
        <v>0</v>
      </c>
      <c r="F33" s="2">
        <f t="shared" si="9"/>
        <v>-0.0348318928181549</v>
      </c>
      <c r="G33" s="2">
        <f t="shared" si="9"/>
        <v>-0.038985537623139</v>
      </c>
      <c r="H33" s="2">
        <f t="shared" si="9"/>
        <v>-0.181818181818182</v>
      </c>
      <c r="I33" s="2">
        <f t="shared" si="9"/>
        <v>-0.176470588235294</v>
      </c>
      <c r="J33" s="2">
        <f t="shared" si="9"/>
        <v>0.05</v>
      </c>
      <c r="K33" s="2">
        <f t="shared" si="9"/>
        <v>0.0689655172413793</v>
      </c>
      <c r="L33" s="2">
        <f t="shared" si="9"/>
        <v>0.0355998945070175</v>
      </c>
      <c r="M33" s="2">
        <f t="shared" si="9"/>
        <v>0.0164983926576318</v>
      </c>
      <c r="N33" s="2">
        <f t="shared" si="9"/>
        <v>0</v>
      </c>
      <c r="O33" s="2">
        <f t="shared" si="9"/>
        <v>0</v>
      </c>
      <c r="P33" s="2">
        <f t="shared" si="9"/>
        <v>-0.105263157894737</v>
      </c>
      <c r="Q33" s="2">
        <f t="shared" si="9"/>
        <v>-0.0285714285714286</v>
      </c>
      <c r="R33" s="2">
        <f t="shared" si="9"/>
        <v>-0.0130343623800625</v>
      </c>
      <c r="S33" s="2">
        <f t="shared" si="9"/>
        <v>-0.00291120815138167</v>
      </c>
      <c r="T33" s="2">
        <f t="shared" si="9"/>
        <v>-0.2</v>
      </c>
      <c r="U33" s="2">
        <f t="shared" si="9"/>
        <v>0</v>
      </c>
      <c r="V33" s="2">
        <f t="shared" si="9"/>
        <v>0</v>
      </c>
      <c r="W33" s="2">
        <f t="shared" si="9"/>
        <v>-0.266666666666667</v>
      </c>
      <c r="X33" s="2">
        <f t="shared" si="9"/>
        <v>0.00341768886850887</v>
      </c>
      <c r="Y33" s="2">
        <f t="shared" si="9"/>
        <v>0.0472135905052629</v>
      </c>
      <c r="Z33" s="2">
        <f t="shared" si="9"/>
        <v>-0.258064516129032</v>
      </c>
      <c r="AA33" s="2">
        <f t="shared" si="9"/>
        <v>0.0204081632653061</v>
      </c>
      <c r="AB33" s="2">
        <f t="shared" si="9"/>
        <v>0.0149253731343284</v>
      </c>
      <c r="AC33" s="2">
        <f t="shared" si="9"/>
        <v>0</v>
      </c>
      <c r="AD33" s="2">
        <f t="shared" si="9"/>
        <v>0.0159044534312361</v>
      </c>
      <c r="AE33" s="2">
        <f t="shared" si="9"/>
        <v>-0.0855739047359073</v>
      </c>
    </row>
    <row r="34" spans="1:31">
      <c r="A34" s="15"/>
      <c r="B34" s="2">
        <f>(B13-B23)/B23</f>
        <v>-0.133333333333333</v>
      </c>
      <c r="C34" s="2">
        <f t="shared" ref="C34:AE34" si="10">(C13-C23)/C23</f>
        <v>-0.0714285714285714</v>
      </c>
      <c r="D34" s="2">
        <f t="shared" si="10"/>
        <v>-0.0487804878048781</v>
      </c>
      <c r="E34" s="2">
        <f t="shared" si="10"/>
        <v>0</v>
      </c>
      <c r="F34" s="2">
        <f t="shared" si="10"/>
        <v>-0.00128376942460253</v>
      </c>
      <c r="G34" s="2">
        <f t="shared" si="10"/>
        <v>-0.023265562775101</v>
      </c>
      <c r="H34" s="2">
        <f t="shared" si="10"/>
        <v>-0.181818181818182</v>
      </c>
      <c r="I34" s="2">
        <f t="shared" si="10"/>
        <v>0</v>
      </c>
      <c r="J34" s="2">
        <f t="shared" si="10"/>
        <v>0.15</v>
      </c>
      <c r="K34" s="2">
        <f t="shared" si="10"/>
        <v>-0.103448275862069</v>
      </c>
      <c r="L34" s="2">
        <f t="shared" si="10"/>
        <v>0.0462004583134681</v>
      </c>
      <c r="M34" s="2">
        <f t="shared" si="10"/>
        <v>0.0891543802649875</v>
      </c>
      <c r="N34" s="2">
        <f t="shared" si="10"/>
        <v>-0.2</v>
      </c>
      <c r="O34" s="2">
        <f t="shared" si="10"/>
        <v>0</v>
      </c>
      <c r="P34" s="2">
        <f t="shared" si="10"/>
        <v>0</v>
      </c>
      <c r="Q34" s="2">
        <f t="shared" si="10"/>
        <v>0</v>
      </c>
      <c r="R34" s="2">
        <f t="shared" si="10"/>
        <v>0.0141188378554231</v>
      </c>
      <c r="S34" s="2">
        <f t="shared" si="10"/>
        <v>0.0407569141193607</v>
      </c>
      <c r="T34" s="2">
        <f t="shared" si="10"/>
        <v>-0.2</v>
      </c>
      <c r="U34" s="2">
        <f t="shared" si="10"/>
        <v>0</v>
      </c>
      <c r="V34" s="2">
        <f t="shared" si="10"/>
        <v>-0.125</v>
      </c>
      <c r="W34" s="2">
        <f t="shared" si="10"/>
        <v>-0.0666666666666667</v>
      </c>
      <c r="X34" s="2">
        <f t="shared" si="10"/>
        <v>0.0804490363916562</v>
      </c>
      <c r="Y34" s="2">
        <f t="shared" si="10"/>
        <v>0.0841740701701552</v>
      </c>
      <c r="Z34" s="2">
        <f t="shared" si="10"/>
        <v>-0.193548387096774</v>
      </c>
      <c r="AA34" s="2">
        <f t="shared" si="10"/>
        <v>0.0612244897959184</v>
      </c>
      <c r="AB34" s="2">
        <f t="shared" si="10"/>
        <v>0.0597014925373134</v>
      </c>
      <c r="AC34" s="2">
        <f t="shared" si="10"/>
        <v>-0.0198019801980198</v>
      </c>
      <c r="AD34" s="2">
        <f t="shared" si="10"/>
        <v>-0.0286197184266635</v>
      </c>
      <c r="AE34" s="2">
        <f t="shared" si="10"/>
        <v>-0.0227924116282228</v>
      </c>
    </row>
    <row r="35" spans="1:31">
      <c r="A35" s="15"/>
      <c r="B35" s="2">
        <f>(B14-B23)/B23</f>
        <v>-0.2</v>
      </c>
      <c r="C35" s="2">
        <f t="shared" ref="C35:AE35" si="11">(C14-C23)/C23</f>
        <v>0</v>
      </c>
      <c r="D35" s="2">
        <f t="shared" si="11"/>
        <v>-0.024390243902439</v>
      </c>
      <c r="E35" s="2">
        <f t="shared" si="11"/>
        <v>0.0188679245283019</v>
      </c>
      <c r="F35" s="2">
        <f t="shared" si="11"/>
        <v>-0.0930753267056408</v>
      </c>
      <c r="G35" s="2">
        <f t="shared" si="11"/>
        <v>-0.150073359882621</v>
      </c>
      <c r="H35" s="2">
        <f t="shared" si="11"/>
        <v>-0.181818181818182</v>
      </c>
      <c r="I35" s="2">
        <f t="shared" si="11"/>
        <v>0.0588235294117647</v>
      </c>
      <c r="J35" s="2">
        <f t="shared" si="11"/>
        <v>0.25</v>
      </c>
      <c r="K35" s="2">
        <f t="shared" si="11"/>
        <v>0.0344827586206897</v>
      </c>
      <c r="L35" s="2">
        <f t="shared" si="11"/>
        <v>0.0145981326830587</v>
      </c>
      <c r="M35" s="2">
        <f t="shared" si="11"/>
        <v>0.0432303126263764</v>
      </c>
      <c r="N35" s="2">
        <f t="shared" si="11"/>
        <v>0</v>
      </c>
      <c r="O35" s="2">
        <f t="shared" si="11"/>
        <v>0</v>
      </c>
      <c r="P35" s="2">
        <f t="shared" si="11"/>
        <v>0</v>
      </c>
      <c r="Q35" s="2">
        <f t="shared" si="11"/>
        <v>-0.0285714285714286</v>
      </c>
      <c r="R35" s="2">
        <f t="shared" si="11"/>
        <v>-0.0015802356926715</v>
      </c>
      <c r="S35" s="2">
        <f t="shared" si="11"/>
        <v>0.0160116448326044</v>
      </c>
      <c r="T35" s="2">
        <f t="shared" si="11"/>
        <v>0</v>
      </c>
      <c r="U35" s="2">
        <f t="shared" si="11"/>
        <v>0</v>
      </c>
      <c r="V35" s="2">
        <f t="shared" si="11"/>
        <v>-0.125</v>
      </c>
      <c r="W35" s="2">
        <f t="shared" si="11"/>
        <v>-0.266666666666667</v>
      </c>
      <c r="X35" s="2">
        <f t="shared" si="11"/>
        <v>0.0785662425006725</v>
      </c>
      <c r="Y35" s="2">
        <f t="shared" si="11"/>
        <v>0.131401349741961</v>
      </c>
      <c r="Z35" s="2">
        <f t="shared" si="11"/>
        <v>-0.129032258064516</v>
      </c>
      <c r="AA35" s="2">
        <f t="shared" si="11"/>
        <v>0.0612244897959184</v>
      </c>
      <c r="AB35" s="2">
        <f t="shared" si="11"/>
        <v>0.0298507462686567</v>
      </c>
      <c r="AC35" s="2">
        <f t="shared" si="11"/>
        <v>-0.0495049504950495</v>
      </c>
      <c r="AD35" s="2">
        <f t="shared" si="11"/>
        <v>0.00747053657339973</v>
      </c>
      <c r="AE35" s="2">
        <f t="shared" si="11"/>
        <v>0.00268413629953128</v>
      </c>
    </row>
    <row r="36" spans="1:31">
      <c r="A36" s="15"/>
      <c r="B36" s="2">
        <f>(B15-B23)/B23</f>
        <v>-0.133333333333333</v>
      </c>
      <c r="C36" s="2">
        <f t="shared" ref="C36:AE36" si="12">(C15-C23)/C23</f>
        <v>-0.0714285714285714</v>
      </c>
      <c r="D36" s="2">
        <f t="shared" si="12"/>
        <v>-0.0731707317073171</v>
      </c>
      <c r="E36" s="2">
        <f t="shared" si="12"/>
        <v>0</v>
      </c>
      <c r="F36" s="2">
        <f t="shared" si="12"/>
        <v>-0.0239156407576318</v>
      </c>
      <c r="G36" s="2">
        <f t="shared" si="12"/>
        <v>-0.0326975476839238</v>
      </c>
      <c r="H36" s="2">
        <f t="shared" si="12"/>
        <v>-0.0909090909090909</v>
      </c>
      <c r="I36" s="2">
        <f t="shared" si="12"/>
        <v>-0.0588235294117647</v>
      </c>
      <c r="J36" s="2">
        <f t="shared" si="12"/>
        <v>0.15</v>
      </c>
      <c r="K36" s="2">
        <f t="shared" si="12"/>
        <v>-0.0344827586206897</v>
      </c>
      <c r="L36" s="2">
        <f t="shared" si="12"/>
        <v>-0.00209448001699716</v>
      </c>
      <c r="M36" s="2">
        <f t="shared" si="12"/>
        <v>0.00347514959593761</v>
      </c>
      <c r="N36" s="2">
        <f t="shared" si="12"/>
        <v>-0.2</v>
      </c>
      <c r="O36" s="2">
        <f t="shared" si="12"/>
        <v>-0.0714285714285714</v>
      </c>
      <c r="P36" s="2">
        <f t="shared" si="12"/>
        <v>0</v>
      </c>
      <c r="Q36" s="2">
        <f t="shared" si="12"/>
        <v>0</v>
      </c>
      <c r="R36" s="2">
        <f t="shared" si="12"/>
        <v>-0.00312948637175873</v>
      </c>
      <c r="S36" s="2">
        <f t="shared" si="12"/>
        <v>0.0174672489082969</v>
      </c>
      <c r="T36" s="2">
        <f t="shared" si="12"/>
        <v>0</v>
      </c>
      <c r="U36" s="2">
        <f t="shared" si="12"/>
        <v>0</v>
      </c>
      <c r="V36" s="2">
        <f t="shared" si="12"/>
        <v>-0.25</v>
      </c>
      <c r="W36" s="2">
        <f t="shared" si="12"/>
        <v>-0.133333333333333</v>
      </c>
      <c r="X36" s="2">
        <f t="shared" si="12"/>
        <v>-0.0370603895194063</v>
      </c>
      <c r="Y36" s="2">
        <f t="shared" si="12"/>
        <v>-0.0554544085638804</v>
      </c>
      <c r="Z36" s="2">
        <f t="shared" si="12"/>
        <v>-0.0967741935483871</v>
      </c>
      <c r="AA36" s="2">
        <f t="shared" si="12"/>
        <v>0.122448979591837</v>
      </c>
      <c r="AB36" s="2">
        <f t="shared" si="12"/>
        <v>0.0447761194029851</v>
      </c>
      <c r="AC36" s="2">
        <f t="shared" si="12"/>
        <v>-0.0396039603960396</v>
      </c>
      <c r="AD36" s="2">
        <f t="shared" si="12"/>
        <v>0.0180287474019427</v>
      </c>
      <c r="AE36" s="2">
        <f t="shared" si="12"/>
        <v>-0.0464492061325708</v>
      </c>
    </row>
    <row r="37" spans="1:31">
      <c r="A37" s="15"/>
      <c r="B37" s="2">
        <f>(B16-B23)/B23</f>
        <v>-0.133333333333333</v>
      </c>
      <c r="C37" s="2">
        <f t="shared" ref="C37:AE37" si="13">(C16-C23)/C23</f>
        <v>0</v>
      </c>
      <c r="D37" s="2">
        <f t="shared" si="13"/>
        <v>0.024390243902439</v>
      </c>
      <c r="E37" s="2">
        <f t="shared" si="13"/>
        <v>0.0188679245283019</v>
      </c>
      <c r="F37" s="2">
        <f t="shared" si="13"/>
        <v>-0.00430052748644367</v>
      </c>
      <c r="G37" s="2">
        <f t="shared" si="13"/>
        <v>0.0144623768601961</v>
      </c>
      <c r="H37" s="2">
        <f t="shared" si="13"/>
        <v>-0.272727272727273</v>
      </c>
      <c r="I37" s="2">
        <f t="shared" si="13"/>
        <v>0</v>
      </c>
      <c r="J37" s="2">
        <f t="shared" si="13"/>
        <v>0.05</v>
      </c>
      <c r="K37" s="2">
        <f t="shared" si="13"/>
        <v>0.0344827586206897</v>
      </c>
      <c r="L37" s="2">
        <f t="shared" si="13"/>
        <v>0.0209208762753003</v>
      </c>
      <c r="M37" s="2">
        <f t="shared" si="13"/>
        <v>0.0733894018218842</v>
      </c>
      <c r="N37" s="2">
        <f t="shared" si="13"/>
        <v>0</v>
      </c>
      <c r="O37" s="2">
        <f t="shared" si="13"/>
        <v>-0.0714285714285714</v>
      </c>
      <c r="P37" s="2">
        <f t="shared" si="13"/>
        <v>-0.0526315789473684</v>
      </c>
      <c r="Q37" s="2">
        <f t="shared" si="13"/>
        <v>-0.0285714285714286</v>
      </c>
      <c r="R37" s="2">
        <f t="shared" si="13"/>
        <v>0.00727114985385261</v>
      </c>
      <c r="S37" s="2">
        <f t="shared" si="13"/>
        <v>0.0422125181950498</v>
      </c>
      <c r="T37" s="2">
        <f t="shared" si="13"/>
        <v>0</v>
      </c>
      <c r="U37" s="2">
        <f t="shared" si="13"/>
        <v>0</v>
      </c>
      <c r="V37" s="2">
        <f t="shared" si="13"/>
        <v>-0.25</v>
      </c>
      <c r="W37" s="2">
        <f t="shared" si="13"/>
        <v>-0.2</v>
      </c>
      <c r="X37" s="2">
        <f t="shared" si="13"/>
        <v>0.00118858827875263</v>
      </c>
      <c r="Y37" s="2">
        <f t="shared" si="13"/>
        <v>0.0102531108403719</v>
      </c>
      <c r="Z37" s="2">
        <f t="shared" si="13"/>
        <v>-0.0645161290322581</v>
      </c>
      <c r="AA37" s="2">
        <f t="shared" si="13"/>
        <v>0</v>
      </c>
      <c r="AB37" s="2">
        <f t="shared" si="13"/>
        <v>0</v>
      </c>
      <c r="AC37" s="2">
        <f t="shared" si="13"/>
        <v>0</v>
      </c>
      <c r="AD37" s="2">
        <f t="shared" si="13"/>
        <v>0.00103069826200834</v>
      </c>
      <c r="AE37" s="2">
        <f t="shared" si="13"/>
        <v>0.00859833492561948</v>
      </c>
    </row>
    <row r="38" spans="1:31">
      <c r="A38" s="15"/>
      <c r="B38" s="2">
        <f>(B17-B23)/B23</f>
        <v>-0.2</v>
      </c>
      <c r="C38" s="2">
        <f t="shared" ref="C38:AE38" si="14">(C17-C23)/C23</f>
        <v>-0.0357142857142857</v>
      </c>
      <c r="D38" s="2">
        <f t="shared" si="14"/>
        <v>0.024390243902439</v>
      </c>
      <c r="E38" s="2">
        <f t="shared" si="14"/>
        <v>0</v>
      </c>
      <c r="F38" s="2">
        <f t="shared" si="14"/>
        <v>-0.0705201879525628</v>
      </c>
      <c r="G38" s="2">
        <f t="shared" si="14"/>
        <v>-0.094529448752883</v>
      </c>
      <c r="H38" s="2">
        <f t="shared" si="14"/>
        <v>-0.545454545454545</v>
      </c>
      <c r="I38" s="2">
        <f t="shared" si="14"/>
        <v>-0.0588235294117647</v>
      </c>
      <c r="J38" s="2">
        <f t="shared" si="14"/>
        <v>0.05</v>
      </c>
      <c r="K38" s="2">
        <f t="shared" si="14"/>
        <v>0.0344827586206897</v>
      </c>
      <c r="L38" s="2">
        <f t="shared" si="14"/>
        <v>0.0226639028872154</v>
      </c>
      <c r="M38" s="2">
        <f t="shared" si="14"/>
        <v>0.0178692603483375</v>
      </c>
      <c r="N38" s="2">
        <f t="shared" si="14"/>
        <v>-0.2</v>
      </c>
      <c r="O38" s="2">
        <f t="shared" si="14"/>
        <v>0</v>
      </c>
      <c r="P38" s="2">
        <f t="shared" si="14"/>
        <v>0</v>
      </c>
      <c r="Q38" s="2">
        <f t="shared" si="14"/>
        <v>-0.0285714285714286</v>
      </c>
      <c r="R38" s="2">
        <f t="shared" si="14"/>
        <v>-0.000206566757211926</v>
      </c>
      <c r="S38" s="2">
        <f t="shared" si="14"/>
        <v>0.0145560407569153</v>
      </c>
      <c r="T38" s="2">
        <f t="shared" si="14"/>
        <v>0</v>
      </c>
      <c r="U38" s="2">
        <f t="shared" si="14"/>
        <v>0.333333333333333</v>
      </c>
      <c r="V38" s="2">
        <f t="shared" si="14"/>
        <v>0</v>
      </c>
      <c r="W38" s="2">
        <f t="shared" si="14"/>
        <v>-0.2</v>
      </c>
      <c r="X38" s="2">
        <f t="shared" si="14"/>
        <v>-0.00151419618632715</v>
      </c>
      <c r="Y38" s="2">
        <f t="shared" si="14"/>
        <v>-0.0075426756649464</v>
      </c>
      <c r="Z38" s="2">
        <f t="shared" si="14"/>
        <v>-0.129032258064516</v>
      </c>
      <c r="AA38" s="2">
        <f t="shared" si="14"/>
        <v>0.0612244897959184</v>
      </c>
      <c r="AB38" s="2">
        <f t="shared" si="14"/>
        <v>0.0298507462686567</v>
      </c>
      <c r="AC38" s="2">
        <f t="shared" si="14"/>
        <v>0.0495049504950495</v>
      </c>
      <c r="AD38" s="2">
        <f t="shared" si="14"/>
        <v>-0.0494492392990384</v>
      </c>
      <c r="AE38" s="2">
        <f t="shared" si="14"/>
        <v>-0.0355306855921021</v>
      </c>
    </row>
    <row r="39" spans="1:31">
      <c r="A39" s="15"/>
      <c r="B39" s="2">
        <f>(B18-B23)/B23</f>
        <v>-0.0666666666666667</v>
      </c>
      <c r="C39" s="2">
        <f t="shared" ref="C39:AE39" si="15">(C18-C23)/C23</f>
        <v>0</v>
      </c>
      <c r="D39" s="2">
        <f t="shared" si="15"/>
        <v>-0.0731707317073171</v>
      </c>
      <c r="E39" s="2">
        <f t="shared" si="15"/>
        <v>0.0566037735849057</v>
      </c>
      <c r="F39" s="2">
        <f t="shared" si="15"/>
        <v>-0.0119017096797284</v>
      </c>
      <c r="G39" s="2">
        <f t="shared" si="15"/>
        <v>-0.0211695661286922</v>
      </c>
      <c r="H39" s="2">
        <f t="shared" si="15"/>
        <v>-0.181818181818182</v>
      </c>
      <c r="I39" s="2">
        <f t="shared" si="15"/>
        <v>0</v>
      </c>
      <c r="J39" s="2">
        <f t="shared" si="15"/>
        <v>0.15</v>
      </c>
      <c r="K39" s="2">
        <f t="shared" si="15"/>
        <v>0.0344827586206897</v>
      </c>
      <c r="L39" s="2">
        <f t="shared" si="15"/>
        <v>0.0261043867878582</v>
      </c>
      <c r="M39" s="2">
        <f t="shared" si="15"/>
        <v>0.0404885772449672</v>
      </c>
      <c r="N39" s="2">
        <f t="shared" si="15"/>
        <v>0</v>
      </c>
      <c r="O39" s="2">
        <f t="shared" si="15"/>
        <v>0</v>
      </c>
      <c r="P39" s="2">
        <f t="shared" si="15"/>
        <v>-0.0526315789473684</v>
      </c>
      <c r="Q39" s="2">
        <f t="shared" si="15"/>
        <v>-0.0571428571428571</v>
      </c>
      <c r="R39" s="2">
        <f t="shared" si="15"/>
        <v>0.0105452329556592</v>
      </c>
      <c r="S39" s="2">
        <f t="shared" si="15"/>
        <v>0.0436681222707424</v>
      </c>
      <c r="T39" s="2">
        <f t="shared" si="15"/>
        <v>-0.2</v>
      </c>
      <c r="U39" s="2">
        <f t="shared" si="15"/>
        <v>0</v>
      </c>
      <c r="V39" s="2">
        <f t="shared" si="15"/>
        <v>-0.125</v>
      </c>
      <c r="W39" s="2">
        <f t="shared" si="15"/>
        <v>-0.2</v>
      </c>
      <c r="X39" s="2">
        <f t="shared" si="15"/>
        <v>-0.0430311946705391</v>
      </c>
      <c r="Y39" s="2">
        <f t="shared" si="15"/>
        <v>-0.0636678484894112</v>
      </c>
      <c r="Z39" s="2">
        <f t="shared" si="15"/>
        <v>0</v>
      </c>
      <c r="AA39" s="2">
        <f t="shared" si="15"/>
        <v>0</v>
      </c>
      <c r="AB39" s="2">
        <f t="shared" si="15"/>
        <v>0</v>
      </c>
      <c r="AC39" s="2">
        <f t="shared" si="15"/>
        <v>0</v>
      </c>
      <c r="AD39" s="2">
        <f t="shared" si="15"/>
        <v>2.39646537858311e-5</v>
      </c>
      <c r="AE39" s="2">
        <f t="shared" si="15"/>
        <v>-4.54938355778182e-5</v>
      </c>
    </row>
    <row r="40" spans="1:31">
      <c r="A40" s="15"/>
      <c r="B40" s="2">
        <f>(B19-B23)/B23</f>
        <v>-0.266666666666667</v>
      </c>
      <c r="C40" s="2">
        <f t="shared" ref="C40:AE40" si="16">(C19-C23)/C23</f>
        <v>-0.0357142857142857</v>
      </c>
      <c r="D40" s="2">
        <f t="shared" si="16"/>
        <v>-0.0487804878048781</v>
      </c>
      <c r="E40" s="2">
        <f t="shared" si="16"/>
        <v>0.0377358490566038</v>
      </c>
      <c r="F40" s="2">
        <f t="shared" si="16"/>
        <v>-0.0265041837605191</v>
      </c>
      <c r="G40" s="2">
        <f t="shared" si="16"/>
        <v>-0.0452735275623544</v>
      </c>
      <c r="H40" s="2">
        <f t="shared" si="16"/>
        <v>-0.181818181818182</v>
      </c>
      <c r="I40" s="2">
        <f t="shared" si="16"/>
        <v>0.0588235294117647</v>
      </c>
      <c r="J40" s="2">
        <f t="shared" si="16"/>
        <v>0.15</v>
      </c>
      <c r="K40" s="2">
        <f t="shared" si="16"/>
        <v>0.0689655172413793</v>
      </c>
      <c r="L40" s="2">
        <f t="shared" si="16"/>
        <v>0.00441054086799355</v>
      </c>
      <c r="M40" s="2">
        <f t="shared" si="16"/>
        <v>0.0110149218948134</v>
      </c>
      <c r="N40" s="2">
        <f t="shared" si="16"/>
        <v>-0.2</v>
      </c>
      <c r="O40" s="2">
        <f t="shared" si="16"/>
        <v>-0.0714285714285714</v>
      </c>
      <c r="P40" s="2">
        <f t="shared" si="16"/>
        <v>0</v>
      </c>
      <c r="Q40" s="2">
        <f t="shared" si="16"/>
        <v>-0.0285714285714286</v>
      </c>
      <c r="R40" s="2">
        <f t="shared" si="16"/>
        <v>-0.00305718800673482</v>
      </c>
      <c r="S40" s="2">
        <f t="shared" si="16"/>
        <v>0.0145560407569153</v>
      </c>
      <c r="T40" s="2">
        <f t="shared" si="16"/>
        <v>0</v>
      </c>
      <c r="U40" s="2">
        <f t="shared" si="16"/>
        <v>0</v>
      </c>
      <c r="V40" s="2">
        <f t="shared" si="16"/>
        <v>-0.25</v>
      </c>
      <c r="W40" s="2">
        <f t="shared" si="16"/>
        <v>-0.0666666666666667</v>
      </c>
      <c r="X40" s="2">
        <f t="shared" si="16"/>
        <v>-0.0142718165259152</v>
      </c>
      <c r="Y40" s="2">
        <f t="shared" si="16"/>
        <v>-0.0520321419282411</v>
      </c>
      <c r="Z40" s="2">
        <f t="shared" si="16"/>
        <v>-0.193548387096774</v>
      </c>
      <c r="AA40" s="2">
        <f t="shared" si="16"/>
        <v>0.0204081632653061</v>
      </c>
      <c r="AB40" s="2">
        <f t="shared" si="16"/>
        <v>-0.0149253731343284</v>
      </c>
      <c r="AC40" s="2">
        <f t="shared" si="16"/>
        <v>-0.0396039603960396</v>
      </c>
      <c r="AD40" s="2">
        <f t="shared" si="16"/>
        <v>-0.0773784702876494</v>
      </c>
      <c r="AE40" s="2">
        <f t="shared" si="16"/>
        <v>-0.084209089668348</v>
      </c>
    </row>
    <row r="41" spans="1:31">
      <c r="A41" s="15"/>
      <c r="B41" s="2">
        <f>(B20-B23)/B23</f>
        <v>-0.266666666666667</v>
      </c>
      <c r="C41" s="2">
        <f t="shared" ref="C41:AE41" si="17">(C20-C23)/C23</f>
        <v>0</v>
      </c>
      <c r="D41" s="2">
        <f t="shared" si="17"/>
        <v>-0.0731707317073171</v>
      </c>
      <c r="E41" s="2">
        <f t="shared" si="17"/>
        <v>0.0188679245283019</v>
      </c>
      <c r="F41" s="2">
        <f t="shared" si="17"/>
        <v>-0.0962993461383333</v>
      </c>
      <c r="G41" s="2">
        <f t="shared" si="17"/>
        <v>-0.138545378327395</v>
      </c>
      <c r="H41" s="2">
        <f t="shared" si="17"/>
        <v>0</v>
      </c>
      <c r="I41" s="2">
        <f t="shared" si="17"/>
        <v>0</v>
      </c>
      <c r="J41" s="2">
        <f t="shared" si="17"/>
        <v>0</v>
      </c>
      <c r="K41" s="2">
        <f t="shared" si="17"/>
        <v>0</v>
      </c>
      <c r="L41" s="2">
        <f t="shared" si="17"/>
        <v>5.01262555067449e-5</v>
      </c>
      <c r="M41" s="2">
        <f t="shared" si="17"/>
        <v>4.7980369174304e-5</v>
      </c>
      <c r="N41" s="2">
        <f t="shared" si="17"/>
        <v>0</v>
      </c>
      <c r="O41" s="2">
        <f t="shared" si="17"/>
        <v>-0.0714285714285714</v>
      </c>
      <c r="P41" s="2">
        <f t="shared" si="17"/>
        <v>0</v>
      </c>
      <c r="Q41" s="2">
        <f t="shared" si="17"/>
        <v>-0.0571428571428571</v>
      </c>
      <c r="R41" s="2">
        <f t="shared" si="17"/>
        <v>-0.00467873705084743</v>
      </c>
      <c r="S41" s="2">
        <f t="shared" si="17"/>
        <v>0.0116448326055301</v>
      </c>
      <c r="T41" s="2">
        <f t="shared" si="17"/>
        <v>0</v>
      </c>
      <c r="U41" s="2">
        <f t="shared" si="17"/>
        <v>0.166666666666667</v>
      </c>
      <c r="V41" s="2">
        <f t="shared" si="17"/>
        <v>0.125</v>
      </c>
      <c r="W41" s="2">
        <f t="shared" si="17"/>
        <v>-0.133333333333333</v>
      </c>
      <c r="X41" s="2">
        <f t="shared" si="17"/>
        <v>0.0267396537888346</v>
      </c>
      <c r="Y41" s="2">
        <f t="shared" si="17"/>
        <v>-0.0246540088431366</v>
      </c>
      <c r="Z41" s="2">
        <f t="shared" si="17"/>
        <v>-0.258064516129032</v>
      </c>
      <c r="AA41" s="2">
        <f t="shared" si="17"/>
        <v>0.0612244897959184</v>
      </c>
      <c r="AB41" s="2">
        <f t="shared" si="17"/>
        <v>0.0149253731343284</v>
      </c>
      <c r="AC41" s="2">
        <f t="shared" si="17"/>
        <v>-0.0099009900990099</v>
      </c>
      <c r="AD41" s="2">
        <f t="shared" si="17"/>
        <v>-0.0820882595069815</v>
      </c>
      <c r="AE41" s="2">
        <f t="shared" si="17"/>
        <v>-0.0651016787225337</v>
      </c>
    </row>
    <row r="42" spans="1:31">
      <c r="A42" s="15"/>
      <c r="B42" s="2">
        <f>(B21-B23)/B23</f>
        <v>-0.2</v>
      </c>
      <c r="C42" s="2">
        <f t="shared" ref="C42:AE42" si="18">(C21-C23)/C23</f>
        <v>-0.0714285714285714</v>
      </c>
      <c r="D42" s="2">
        <f t="shared" si="18"/>
        <v>0</v>
      </c>
      <c r="E42" s="2">
        <f t="shared" si="18"/>
        <v>0</v>
      </c>
      <c r="F42" s="2">
        <f t="shared" si="18"/>
        <v>-0.0408792402673885</v>
      </c>
      <c r="G42" s="2">
        <f t="shared" si="18"/>
        <v>-0.0578495074407902</v>
      </c>
      <c r="H42" s="2">
        <f t="shared" si="18"/>
        <v>0</v>
      </c>
      <c r="I42" s="2">
        <f t="shared" si="18"/>
        <v>0.0588235294117647</v>
      </c>
      <c r="J42" s="2">
        <f t="shared" si="18"/>
        <v>0.2</v>
      </c>
      <c r="K42" s="2">
        <f t="shared" si="18"/>
        <v>-0.0689655172413793</v>
      </c>
      <c r="L42" s="2">
        <f t="shared" si="18"/>
        <v>-0.0419790301367027</v>
      </c>
      <c r="M42" s="2">
        <f t="shared" si="18"/>
        <v>-0.0266839395995702</v>
      </c>
      <c r="N42" s="2">
        <f t="shared" si="18"/>
        <v>-0.2</v>
      </c>
      <c r="O42" s="2">
        <f t="shared" si="18"/>
        <v>0</v>
      </c>
      <c r="P42" s="2">
        <f t="shared" si="18"/>
        <v>0</v>
      </c>
      <c r="Q42" s="2">
        <f t="shared" si="18"/>
        <v>-0.0285714285714286</v>
      </c>
      <c r="R42" s="2">
        <f t="shared" si="18"/>
        <v>0.000991520434615343</v>
      </c>
      <c r="S42" s="2">
        <f t="shared" si="18"/>
        <v>0.0203784570596786</v>
      </c>
      <c r="T42" s="2">
        <f t="shared" si="18"/>
        <v>0</v>
      </c>
      <c r="U42" s="2">
        <f t="shared" si="18"/>
        <v>0</v>
      </c>
      <c r="V42" s="2">
        <f t="shared" si="18"/>
        <v>-0.125</v>
      </c>
      <c r="W42" s="2">
        <f t="shared" si="18"/>
        <v>-0.266666666666667</v>
      </c>
      <c r="X42" s="2">
        <f t="shared" si="18"/>
        <v>0.0196503178060551</v>
      </c>
      <c r="Y42" s="2">
        <f t="shared" si="18"/>
        <v>-0.013018302281968</v>
      </c>
      <c r="Z42" s="2">
        <f t="shared" si="18"/>
        <v>-0.161290322580645</v>
      </c>
      <c r="AA42" s="2">
        <f t="shared" si="18"/>
        <v>0</v>
      </c>
      <c r="AB42" s="2">
        <f t="shared" si="18"/>
        <v>0</v>
      </c>
      <c r="AC42" s="2">
        <f t="shared" si="18"/>
        <v>0.0099009900990099</v>
      </c>
      <c r="AD42" s="2">
        <f t="shared" si="18"/>
        <v>0.00974506160311558</v>
      </c>
      <c r="AE42" s="2">
        <f t="shared" si="18"/>
        <v>-0.0405350075064826</v>
      </c>
    </row>
    <row r="43" spans="1:31">
      <c r="A43" s="15"/>
      <c r="B43" s="2">
        <f>(B22-B23)/B23</f>
        <v>-0.133333333333333</v>
      </c>
      <c r="C43" s="2">
        <f t="shared" ref="C43:AE43" si="19">(C22-C23)/C23</f>
        <v>0</v>
      </c>
      <c r="D43" s="2">
        <f t="shared" si="19"/>
        <v>-0.0731707317073171</v>
      </c>
      <c r="E43" s="2">
        <f t="shared" si="19"/>
        <v>0.0754716981132075</v>
      </c>
      <c r="F43" s="2">
        <f t="shared" si="19"/>
        <v>-0.0661886894175426</v>
      </c>
      <c r="G43" s="2">
        <f t="shared" si="19"/>
        <v>-0.129113393418572</v>
      </c>
      <c r="H43" s="2">
        <f t="shared" si="19"/>
        <v>-0.0909090909090909</v>
      </c>
      <c r="I43" s="2">
        <f t="shared" si="19"/>
        <v>-0.0588235294117647</v>
      </c>
      <c r="J43" s="2">
        <f t="shared" si="19"/>
        <v>0.1</v>
      </c>
      <c r="K43" s="2">
        <f t="shared" si="19"/>
        <v>0.0689655172413793</v>
      </c>
      <c r="L43" s="2">
        <f t="shared" si="19"/>
        <v>-0.0522634567635409</v>
      </c>
      <c r="M43" s="2">
        <f t="shared" si="19"/>
        <v>-0.0767206103102964</v>
      </c>
      <c r="N43" s="2">
        <f t="shared" si="19"/>
        <v>0</v>
      </c>
      <c r="O43" s="2">
        <f t="shared" si="19"/>
        <v>-0.0714285714285714</v>
      </c>
      <c r="P43" s="2">
        <f t="shared" si="19"/>
        <v>0</v>
      </c>
      <c r="Q43" s="2">
        <f t="shared" si="19"/>
        <v>-0.0285714285714286</v>
      </c>
      <c r="R43" s="2">
        <f t="shared" si="19"/>
        <v>-0.00425527519856378</v>
      </c>
      <c r="S43" s="2">
        <f t="shared" si="19"/>
        <v>0.0131004366812227</v>
      </c>
      <c r="T43" s="2">
        <f t="shared" si="19"/>
        <v>0</v>
      </c>
      <c r="U43" s="2">
        <f t="shared" si="19"/>
        <v>0</v>
      </c>
      <c r="V43" s="2">
        <f t="shared" si="19"/>
        <v>-0.125</v>
      </c>
      <c r="W43" s="2">
        <f t="shared" si="19"/>
        <v>-0.0666666666666667</v>
      </c>
      <c r="X43" s="2">
        <f t="shared" si="19"/>
        <v>-0.015860050696116</v>
      </c>
      <c r="Y43" s="2">
        <f t="shared" si="19"/>
        <v>-0.0534010485824965</v>
      </c>
      <c r="Z43" s="2">
        <f t="shared" si="19"/>
        <v>-0.161290322580645</v>
      </c>
      <c r="AA43" s="2">
        <f t="shared" si="19"/>
        <v>0.0612244897959184</v>
      </c>
      <c r="AB43" s="2">
        <f t="shared" si="19"/>
        <v>0.0298507462686567</v>
      </c>
      <c r="AC43" s="2">
        <f t="shared" si="19"/>
        <v>-0.0297029702970297</v>
      </c>
      <c r="AD43" s="2">
        <f t="shared" si="19"/>
        <v>0.0874160135205609</v>
      </c>
      <c r="AE43" s="2">
        <f t="shared" si="19"/>
        <v>0.0745643965242691</v>
      </c>
    </row>
    <row r="51" spans="1:7">
      <c r="A51" s="30" t="s">
        <v>3</v>
      </c>
      <c r="B51" s="31">
        <v>-0.2</v>
      </c>
      <c r="C51" s="31">
        <v>-0.0909090909090909</v>
      </c>
      <c r="D51" s="31">
        <v>-0.2</v>
      </c>
      <c r="E51" s="31">
        <v>0</v>
      </c>
      <c r="F51" s="31">
        <v>-0.193548387096774</v>
      </c>
      <c r="G51" s="31">
        <f>AVERAGE(B51:F51)</f>
        <v>-0.136891495601173</v>
      </c>
    </row>
    <row r="52" spans="1:7">
      <c r="A52" s="30"/>
      <c r="B52" s="31">
        <v>-0.2</v>
      </c>
      <c r="C52" s="31">
        <v>-0.272727272727273</v>
      </c>
      <c r="D52" s="31">
        <v>-0.2</v>
      </c>
      <c r="E52" s="31">
        <v>0</v>
      </c>
      <c r="F52" s="31">
        <v>-0.258064516129032</v>
      </c>
      <c r="G52" s="31">
        <f t="shared" ref="G52:G71" si="20">AVERAGE(B52:F52)</f>
        <v>-0.186158357771261</v>
      </c>
    </row>
    <row r="53" spans="1:7">
      <c r="A53" s="30"/>
      <c r="B53" s="31">
        <v>-0.2</v>
      </c>
      <c r="C53" s="31">
        <v>-0.181818181818182</v>
      </c>
      <c r="D53" s="31">
        <v>-0.2</v>
      </c>
      <c r="E53" s="31">
        <v>0</v>
      </c>
      <c r="F53" s="31">
        <v>-0.32258064516129</v>
      </c>
      <c r="G53" s="31">
        <f t="shared" si="20"/>
        <v>-0.180879765395894</v>
      </c>
    </row>
    <row r="54" spans="1:7">
      <c r="A54" s="30"/>
      <c r="B54" s="31">
        <v>-0.0666666666666667</v>
      </c>
      <c r="C54" s="31">
        <v>-0.454545454545455</v>
      </c>
      <c r="D54" s="31">
        <v>0</v>
      </c>
      <c r="E54" s="31">
        <v>0</v>
      </c>
      <c r="F54" s="31">
        <v>-0.161290322580645</v>
      </c>
      <c r="G54" s="31">
        <f t="shared" si="20"/>
        <v>-0.136500488758553</v>
      </c>
    </row>
    <row r="55" spans="1:7">
      <c r="A55" s="30"/>
      <c r="B55" s="31">
        <v>-0.266666666666667</v>
      </c>
      <c r="C55" s="31">
        <v>-0.181818181818182</v>
      </c>
      <c r="D55" s="31">
        <v>-0.2</v>
      </c>
      <c r="E55" s="31">
        <v>0</v>
      </c>
      <c r="F55" s="31">
        <v>-0.258064516129032</v>
      </c>
      <c r="G55" s="31">
        <f t="shared" si="20"/>
        <v>-0.181309872922776</v>
      </c>
    </row>
    <row r="56" spans="1:7">
      <c r="A56" s="30"/>
      <c r="B56" s="31">
        <v>-0.0666666666666667</v>
      </c>
      <c r="C56" s="31">
        <v>-0.363636363636364</v>
      </c>
      <c r="D56" s="31">
        <v>-0.2</v>
      </c>
      <c r="E56" s="31">
        <v>0</v>
      </c>
      <c r="F56" s="31">
        <v>-0.193548387096774</v>
      </c>
      <c r="G56" s="31">
        <f t="shared" si="20"/>
        <v>-0.164770283479961</v>
      </c>
    </row>
    <row r="57" spans="1:7">
      <c r="A57" s="30"/>
      <c r="B57" s="31">
        <v>-0.266666666666667</v>
      </c>
      <c r="C57" s="31">
        <v>-0.272727272727273</v>
      </c>
      <c r="D57" s="31">
        <v>0</v>
      </c>
      <c r="E57" s="31">
        <v>0</v>
      </c>
      <c r="F57" s="31">
        <v>-0.161290322580645</v>
      </c>
      <c r="G57" s="31">
        <f t="shared" si="20"/>
        <v>-0.140136852394917</v>
      </c>
    </row>
    <row r="58" spans="1:7">
      <c r="A58" s="30"/>
      <c r="B58" s="31">
        <v>-0.266666666666667</v>
      </c>
      <c r="C58" s="31">
        <v>-0.181818181818182</v>
      </c>
      <c r="D58" s="31">
        <v>-0.2</v>
      </c>
      <c r="E58" s="31">
        <v>0</v>
      </c>
      <c r="F58" s="31">
        <v>-0.258064516129032</v>
      </c>
      <c r="G58" s="31">
        <f t="shared" si="20"/>
        <v>-0.181309872922776</v>
      </c>
    </row>
    <row r="59" spans="1:7">
      <c r="A59" s="30"/>
      <c r="B59" s="31">
        <v>0</v>
      </c>
      <c r="C59" s="31">
        <v>-0.181818181818182</v>
      </c>
      <c r="D59" s="31">
        <v>-0.2</v>
      </c>
      <c r="E59" s="31">
        <v>0</v>
      </c>
      <c r="F59" s="31">
        <v>-0.290322580645161</v>
      </c>
      <c r="G59" s="31">
        <f t="shared" si="20"/>
        <v>-0.134428152492669</v>
      </c>
    </row>
    <row r="60" spans="1:7">
      <c r="A60" s="30"/>
      <c r="B60" s="31">
        <v>-0.133333333333333</v>
      </c>
      <c r="C60" s="31">
        <v>-0.181818181818182</v>
      </c>
      <c r="D60" s="31">
        <v>0</v>
      </c>
      <c r="E60" s="31">
        <v>-0.2</v>
      </c>
      <c r="F60" s="31">
        <v>-0.258064516129032</v>
      </c>
      <c r="G60" s="31">
        <f t="shared" si="20"/>
        <v>-0.154643206256109</v>
      </c>
    </row>
    <row r="61" spans="1:7">
      <c r="A61" s="30"/>
      <c r="B61" s="31">
        <v>-0.133333333333333</v>
      </c>
      <c r="C61" s="31">
        <v>-0.181818181818182</v>
      </c>
      <c r="D61" s="31">
        <v>-0.2</v>
      </c>
      <c r="E61" s="31">
        <v>-0.2</v>
      </c>
      <c r="F61" s="31">
        <v>-0.193548387096774</v>
      </c>
      <c r="G61" s="31">
        <f t="shared" si="20"/>
        <v>-0.181739980449658</v>
      </c>
    </row>
    <row r="62" spans="1:7">
      <c r="A62" s="30"/>
      <c r="B62" s="31">
        <v>-0.2</v>
      </c>
      <c r="C62" s="31">
        <v>-0.181818181818182</v>
      </c>
      <c r="D62" s="31">
        <v>0</v>
      </c>
      <c r="E62" s="31">
        <v>0</v>
      </c>
      <c r="F62" s="31">
        <v>-0.129032258064516</v>
      </c>
      <c r="G62" s="31">
        <f t="shared" si="20"/>
        <v>-0.10217008797654</v>
      </c>
    </row>
    <row r="63" spans="1:7">
      <c r="A63" s="30"/>
      <c r="B63" s="31">
        <v>-0.133333333333333</v>
      </c>
      <c r="C63" s="31">
        <v>-0.0909090909090909</v>
      </c>
      <c r="D63" s="31">
        <v>-0.2</v>
      </c>
      <c r="E63" s="31">
        <v>0</v>
      </c>
      <c r="F63" s="31">
        <v>-0.0967741935483871</v>
      </c>
      <c r="G63" s="31">
        <f t="shared" si="20"/>
        <v>-0.104203323558162</v>
      </c>
    </row>
    <row r="64" spans="1:7">
      <c r="A64" s="30"/>
      <c r="B64" s="31">
        <v>-0.133333333333333</v>
      </c>
      <c r="C64" s="31">
        <v>-0.272727272727273</v>
      </c>
      <c r="D64" s="31">
        <v>0</v>
      </c>
      <c r="E64" s="31">
        <v>0</v>
      </c>
      <c r="F64" s="31">
        <v>-0.0645161290322581</v>
      </c>
      <c r="G64" s="31">
        <f t="shared" si="20"/>
        <v>-0.0941153470185728</v>
      </c>
    </row>
    <row r="65" spans="1:7">
      <c r="A65" s="30"/>
      <c r="B65" s="31">
        <v>-0.2</v>
      </c>
      <c r="C65" s="31">
        <v>-0.545454545454545</v>
      </c>
      <c r="D65" s="31">
        <v>-0.2</v>
      </c>
      <c r="E65" s="31">
        <v>0</v>
      </c>
      <c r="F65" s="31">
        <v>-0.129032258064516</v>
      </c>
      <c r="G65" s="31">
        <f t="shared" si="20"/>
        <v>-0.214897360703812</v>
      </c>
    </row>
    <row r="66" spans="1:7">
      <c r="A66" s="30"/>
      <c r="B66" s="31">
        <v>-0.0666666666666667</v>
      </c>
      <c r="C66" s="31">
        <v>-0.181818181818182</v>
      </c>
      <c r="D66" s="31">
        <v>0</v>
      </c>
      <c r="E66" s="31">
        <v>-0.2</v>
      </c>
      <c r="F66" s="31">
        <v>0</v>
      </c>
      <c r="G66" s="31">
        <f t="shared" si="20"/>
        <v>-0.0896969696969697</v>
      </c>
    </row>
    <row r="67" spans="1:7">
      <c r="A67" s="30"/>
      <c r="B67" s="31">
        <v>-0.266666666666667</v>
      </c>
      <c r="C67" s="31">
        <v>-0.181818181818182</v>
      </c>
      <c r="D67" s="31">
        <v>-0.2</v>
      </c>
      <c r="E67" s="31">
        <v>0</v>
      </c>
      <c r="F67" s="31">
        <v>-0.193548387096774</v>
      </c>
      <c r="G67" s="31">
        <f t="shared" si="20"/>
        <v>-0.168406647116325</v>
      </c>
    </row>
    <row r="68" spans="1:7">
      <c r="A68" s="30"/>
      <c r="B68" s="31">
        <v>-0.266666666666667</v>
      </c>
      <c r="C68" s="31">
        <v>0</v>
      </c>
      <c r="D68" s="31">
        <v>0</v>
      </c>
      <c r="E68" s="31">
        <v>0</v>
      </c>
      <c r="F68" s="31">
        <v>-0.258064516129032</v>
      </c>
      <c r="G68" s="31">
        <f t="shared" si="20"/>
        <v>-0.10494623655914</v>
      </c>
    </row>
    <row r="69" spans="1:7">
      <c r="A69" s="30"/>
      <c r="B69" s="31">
        <v>-0.2</v>
      </c>
      <c r="C69" s="31">
        <v>0</v>
      </c>
      <c r="D69" s="31">
        <v>-0.2</v>
      </c>
      <c r="E69" s="31">
        <v>0</v>
      </c>
      <c r="F69" s="31">
        <v>-0.161290322580645</v>
      </c>
      <c r="G69" s="31">
        <f t="shared" si="20"/>
        <v>-0.112258064516129</v>
      </c>
    </row>
    <row r="70" spans="1:7">
      <c r="A70" s="30"/>
      <c r="B70" s="31">
        <v>-0.133333333333333</v>
      </c>
      <c r="C70" s="31">
        <v>-0.0909090909090909</v>
      </c>
      <c r="D70" s="31">
        <v>0</v>
      </c>
      <c r="E70" s="31">
        <v>0</v>
      </c>
      <c r="F70" s="31">
        <v>-0.161290322580645</v>
      </c>
      <c r="G70" s="31">
        <f t="shared" si="20"/>
        <v>-0.0771065493646138</v>
      </c>
    </row>
    <row r="71" spans="1:7">
      <c r="A71" s="31"/>
      <c r="B71" s="31">
        <f>AVERAGE(B51:B70)</f>
        <v>-0.17</v>
      </c>
      <c r="C71" s="31">
        <f t="shared" ref="C71:F71" si="21">AVERAGE(C51:C70)</f>
        <v>-0.204545454545455</v>
      </c>
      <c r="D71" s="31">
        <f t="shared" si="21"/>
        <v>-0.12</v>
      </c>
      <c r="E71" s="31">
        <f t="shared" si="21"/>
        <v>-0.03</v>
      </c>
      <c r="F71" s="31">
        <f t="shared" si="21"/>
        <v>-0.187096774193548</v>
      </c>
      <c r="G71" s="31">
        <f t="shared" si="20"/>
        <v>-0.142328445747801</v>
      </c>
    </row>
    <row r="72" spans="1:7">
      <c r="A72" s="31"/>
      <c r="B72" s="31"/>
      <c r="C72" s="31"/>
      <c r="D72" s="31"/>
      <c r="E72" s="31"/>
      <c r="F72" s="31"/>
      <c r="G72" s="31"/>
    </row>
  </sheetData>
  <mergeCells count="7">
    <mergeCell ref="B1:F1"/>
    <mergeCell ref="H1:M1"/>
    <mergeCell ref="N1:S1"/>
    <mergeCell ref="T1:Y1"/>
    <mergeCell ref="Z1:AE1"/>
    <mergeCell ref="A24:A43"/>
    <mergeCell ref="A51:A70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73"/>
  <sheetViews>
    <sheetView workbookViewId="0">
      <selection activeCell="A23" sqref="A23"/>
    </sheetView>
  </sheetViews>
  <sheetFormatPr defaultColWidth="9" defaultRowHeight="14"/>
  <cols>
    <col min="1" max="1" width="54" customWidth="1"/>
    <col min="2" max="7" width="13.8333333333333"/>
    <col min="8" max="15" width="13.8333333333333" style="1"/>
    <col min="16" max="28" width="13.8333333333333"/>
    <col min="29" max="29" width="12.6666666666667"/>
    <col min="30" max="31" width="13.8333333333333"/>
  </cols>
  <sheetData>
    <row r="1" spans="1:31">
      <c r="A1" s="2"/>
      <c r="B1" s="3" t="s">
        <v>1</v>
      </c>
      <c r="C1" s="3"/>
      <c r="D1" s="3"/>
      <c r="E1" s="3"/>
      <c r="F1" s="3"/>
      <c r="G1" s="4"/>
      <c r="H1" s="5" t="s">
        <v>1</v>
      </c>
      <c r="I1" s="5"/>
      <c r="J1" s="5"/>
      <c r="K1" s="5"/>
      <c r="L1" s="5"/>
      <c r="M1" s="5"/>
      <c r="N1" s="18" t="s">
        <v>2</v>
      </c>
      <c r="O1" s="18"/>
      <c r="P1" s="18"/>
      <c r="Q1" s="18"/>
      <c r="R1" s="18"/>
      <c r="S1" s="18"/>
      <c r="T1" s="22" t="s">
        <v>19</v>
      </c>
      <c r="U1" s="22"/>
      <c r="V1" s="22"/>
      <c r="W1" s="22"/>
      <c r="X1" s="22"/>
      <c r="Y1" s="22"/>
      <c r="Z1" s="27" t="s">
        <v>20</v>
      </c>
      <c r="AA1" s="27"/>
      <c r="AB1" s="27"/>
      <c r="AC1" s="27"/>
      <c r="AD1" s="27"/>
      <c r="AE1" s="27"/>
    </row>
    <row r="2" spans="1:31">
      <c r="A2" s="2"/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7" t="s">
        <v>3</v>
      </c>
      <c r="I2" s="7" t="s">
        <v>4</v>
      </c>
      <c r="J2" s="7" t="s">
        <v>5</v>
      </c>
      <c r="K2" s="7" t="s">
        <v>6</v>
      </c>
      <c r="L2" s="7" t="s">
        <v>7</v>
      </c>
      <c r="M2" s="7" t="s">
        <v>8</v>
      </c>
      <c r="N2" s="19" t="s">
        <v>3</v>
      </c>
      <c r="O2" s="19" t="s">
        <v>4</v>
      </c>
      <c r="P2" s="19" t="s">
        <v>5</v>
      </c>
      <c r="Q2" s="19" t="s">
        <v>6</v>
      </c>
      <c r="R2" s="19" t="s">
        <v>7</v>
      </c>
      <c r="S2" s="19" t="s">
        <v>8</v>
      </c>
      <c r="T2" s="23" t="s">
        <v>3</v>
      </c>
      <c r="U2" s="23" t="s">
        <v>4</v>
      </c>
      <c r="V2" s="23" t="s">
        <v>5</v>
      </c>
      <c r="W2" s="23" t="s">
        <v>6</v>
      </c>
      <c r="X2" s="23" t="s">
        <v>7</v>
      </c>
      <c r="Y2" s="23" t="s">
        <v>8</v>
      </c>
      <c r="Z2" s="17"/>
      <c r="AA2" s="17"/>
      <c r="AB2" s="17"/>
      <c r="AC2" s="17"/>
      <c r="AD2" s="17"/>
      <c r="AE2" s="17"/>
    </row>
    <row r="3" spans="1:31">
      <c r="A3" s="8" t="s">
        <v>72</v>
      </c>
      <c r="B3" s="9">
        <v>14</v>
      </c>
      <c r="C3" s="9">
        <v>27</v>
      </c>
      <c r="D3" s="9">
        <v>39</v>
      </c>
      <c r="E3" s="9">
        <v>54</v>
      </c>
      <c r="F3" s="9">
        <v>23.660038735774</v>
      </c>
      <c r="G3" s="9">
        <v>17.1923076923077</v>
      </c>
      <c r="H3" s="10">
        <v>9</v>
      </c>
      <c r="I3" s="10">
        <v>16</v>
      </c>
      <c r="J3" s="10">
        <v>23</v>
      </c>
      <c r="K3" s="10">
        <v>28</v>
      </c>
      <c r="L3" s="10">
        <v>63.1175084175084</v>
      </c>
      <c r="M3" s="10">
        <v>51.1515151515151</v>
      </c>
      <c r="N3" s="20">
        <v>4</v>
      </c>
      <c r="O3" s="20">
        <v>13</v>
      </c>
      <c r="P3" s="20">
        <v>19</v>
      </c>
      <c r="Q3" s="20">
        <v>34</v>
      </c>
      <c r="R3" s="20">
        <v>67.6861111111111</v>
      </c>
      <c r="S3" s="20">
        <v>29.1666666666667</v>
      </c>
      <c r="T3" s="24">
        <v>5</v>
      </c>
      <c r="U3" s="24">
        <v>6</v>
      </c>
      <c r="V3" s="24">
        <v>7</v>
      </c>
      <c r="W3" s="24">
        <v>14</v>
      </c>
      <c r="X3" s="24">
        <v>94.5909090909091</v>
      </c>
      <c r="Y3" s="24">
        <v>66.7727272727273</v>
      </c>
      <c r="Z3" s="28">
        <v>31</v>
      </c>
      <c r="AA3" s="28">
        <v>48</v>
      </c>
      <c r="AB3" s="28">
        <v>66</v>
      </c>
      <c r="AC3" s="28">
        <v>101</v>
      </c>
      <c r="AD3" s="28">
        <v>41.3546726013638</v>
      </c>
      <c r="AE3" s="28">
        <v>21.921568627451</v>
      </c>
    </row>
    <row r="4" spans="1:31">
      <c r="A4" s="8" t="s">
        <v>73</v>
      </c>
      <c r="B4" s="9">
        <v>12</v>
      </c>
      <c r="C4" s="9">
        <v>27</v>
      </c>
      <c r="D4" s="9">
        <v>38</v>
      </c>
      <c r="E4" s="9">
        <v>53</v>
      </c>
      <c r="F4" s="9">
        <v>24.2153194844371</v>
      </c>
      <c r="G4" s="9">
        <v>17.4423076923077</v>
      </c>
      <c r="H4" s="10">
        <v>7</v>
      </c>
      <c r="I4" s="10">
        <v>16</v>
      </c>
      <c r="J4" s="10">
        <v>23</v>
      </c>
      <c r="K4" s="10">
        <v>27</v>
      </c>
      <c r="L4" s="10">
        <v>63.4392255892256</v>
      </c>
      <c r="M4" s="10">
        <v>48.7575757575758</v>
      </c>
      <c r="N4" s="20">
        <v>5</v>
      </c>
      <c r="O4" s="20">
        <v>14</v>
      </c>
      <c r="P4" s="20">
        <v>19</v>
      </c>
      <c r="Q4" s="20">
        <v>34</v>
      </c>
      <c r="R4" s="20">
        <v>66.4791666666667</v>
      </c>
      <c r="S4" s="20">
        <v>28.5416666666667</v>
      </c>
      <c r="T4" s="24">
        <v>4</v>
      </c>
      <c r="U4" s="24">
        <v>5</v>
      </c>
      <c r="V4" s="24">
        <v>6</v>
      </c>
      <c r="W4" s="24">
        <v>15</v>
      </c>
      <c r="X4" s="24">
        <v>97.4958333333333</v>
      </c>
      <c r="Y4" s="24">
        <v>66.5909090909091</v>
      </c>
      <c r="Z4" s="28">
        <v>25</v>
      </c>
      <c r="AA4" s="28">
        <v>50</v>
      </c>
      <c r="AB4" s="28">
        <v>67</v>
      </c>
      <c r="AC4" s="28">
        <v>100</v>
      </c>
      <c r="AD4" s="28">
        <v>43.5398973983533</v>
      </c>
      <c r="AE4" s="28">
        <v>22.1078431372549</v>
      </c>
    </row>
    <row r="5" spans="1:31">
      <c r="A5" s="8" t="s">
        <v>74</v>
      </c>
      <c r="B5" s="9">
        <v>11</v>
      </c>
      <c r="C5" s="9">
        <v>28</v>
      </c>
      <c r="D5" s="9">
        <v>41</v>
      </c>
      <c r="E5" s="9">
        <v>52</v>
      </c>
      <c r="F5" s="9">
        <v>24.7660873440285</v>
      </c>
      <c r="G5" s="9">
        <v>18.6730769230769</v>
      </c>
      <c r="H5" s="10">
        <v>9</v>
      </c>
      <c r="I5" s="10">
        <v>14</v>
      </c>
      <c r="J5" s="10">
        <v>21</v>
      </c>
      <c r="K5" s="10">
        <v>27</v>
      </c>
      <c r="L5" s="10">
        <v>60.8149831649832</v>
      </c>
      <c r="M5" s="10">
        <v>47.2727272727273</v>
      </c>
      <c r="N5" s="20">
        <v>4</v>
      </c>
      <c r="O5" s="20">
        <v>14</v>
      </c>
      <c r="P5" s="20">
        <v>19</v>
      </c>
      <c r="Q5" s="20">
        <v>35</v>
      </c>
      <c r="R5" s="20">
        <v>67.0645833333333</v>
      </c>
      <c r="S5" s="20">
        <v>28.9583333333333</v>
      </c>
      <c r="T5" s="24">
        <v>5</v>
      </c>
      <c r="U5" s="24">
        <v>5</v>
      </c>
      <c r="V5" s="24">
        <v>7</v>
      </c>
      <c r="W5" s="24">
        <v>13</v>
      </c>
      <c r="X5" s="24">
        <v>96.1526515151515</v>
      </c>
      <c r="Y5" s="24">
        <v>66.4090909090909</v>
      </c>
      <c r="Z5" s="28">
        <v>25</v>
      </c>
      <c r="AA5" s="28">
        <v>51</v>
      </c>
      <c r="AB5" s="28">
        <v>66</v>
      </c>
      <c r="AC5" s="28">
        <v>99</v>
      </c>
      <c r="AD5" s="28">
        <v>46.1613459525224</v>
      </c>
      <c r="AE5" s="28">
        <v>25.2156862745098</v>
      </c>
    </row>
    <row r="6" spans="1:31">
      <c r="A6" s="8" t="s">
        <v>75</v>
      </c>
      <c r="B6" s="9">
        <v>13</v>
      </c>
      <c r="C6" s="9">
        <v>28</v>
      </c>
      <c r="D6" s="9">
        <v>39</v>
      </c>
      <c r="E6" s="9">
        <v>54</v>
      </c>
      <c r="F6" s="9">
        <v>24.1348621966269</v>
      </c>
      <c r="G6" s="9">
        <v>17.9230769230769</v>
      </c>
      <c r="H6" s="10">
        <v>8</v>
      </c>
      <c r="I6" s="10">
        <v>16</v>
      </c>
      <c r="J6" s="10">
        <v>21</v>
      </c>
      <c r="K6" s="10">
        <v>31</v>
      </c>
      <c r="L6" s="10">
        <v>60.1890572390572</v>
      </c>
      <c r="M6" s="10">
        <v>46.4242424242424</v>
      </c>
      <c r="N6" s="20">
        <v>4</v>
      </c>
      <c r="O6" s="20">
        <v>14</v>
      </c>
      <c r="P6" s="20">
        <v>19</v>
      </c>
      <c r="Q6" s="20">
        <v>35</v>
      </c>
      <c r="R6" s="20">
        <v>66.91875</v>
      </c>
      <c r="S6" s="20">
        <v>28.7916666666667</v>
      </c>
      <c r="T6" s="24">
        <v>5</v>
      </c>
      <c r="U6" s="24">
        <v>6</v>
      </c>
      <c r="V6" s="24">
        <v>7</v>
      </c>
      <c r="W6" s="24">
        <v>11</v>
      </c>
      <c r="X6" s="24">
        <v>99.4950757575757</v>
      </c>
      <c r="Y6" s="24">
        <v>71.5454545454545</v>
      </c>
      <c r="Z6" s="28">
        <v>28</v>
      </c>
      <c r="AA6" s="28">
        <v>51</v>
      </c>
      <c r="AB6" s="28">
        <v>67</v>
      </c>
      <c r="AC6" s="28">
        <v>100</v>
      </c>
      <c r="AD6" s="28">
        <v>43.6579115737204</v>
      </c>
      <c r="AE6" s="28">
        <v>22.0098039215686</v>
      </c>
    </row>
    <row r="7" spans="1:31">
      <c r="A7" s="8" t="s">
        <v>76</v>
      </c>
      <c r="B7" s="9">
        <v>12</v>
      </c>
      <c r="C7" s="9">
        <v>31</v>
      </c>
      <c r="D7" s="9">
        <v>41</v>
      </c>
      <c r="E7" s="9">
        <v>54</v>
      </c>
      <c r="F7" s="9">
        <v>23.667383107089</v>
      </c>
      <c r="G7" s="9">
        <v>17.2307692307692</v>
      </c>
      <c r="H7" s="10">
        <v>9</v>
      </c>
      <c r="I7" s="10">
        <v>15</v>
      </c>
      <c r="J7" s="10">
        <v>21</v>
      </c>
      <c r="K7" s="10">
        <v>28</v>
      </c>
      <c r="L7" s="10">
        <v>61.1550505050505</v>
      </c>
      <c r="M7" s="10">
        <v>47.4242424242424</v>
      </c>
      <c r="N7" s="20">
        <v>5</v>
      </c>
      <c r="O7" s="20">
        <v>14</v>
      </c>
      <c r="P7" s="20">
        <v>19</v>
      </c>
      <c r="Q7" s="20">
        <v>35</v>
      </c>
      <c r="R7" s="20">
        <v>66.9006944444445</v>
      </c>
      <c r="S7" s="20">
        <v>28.75</v>
      </c>
      <c r="T7" s="24">
        <v>5</v>
      </c>
      <c r="U7" s="24">
        <v>6</v>
      </c>
      <c r="V7" s="24">
        <v>7</v>
      </c>
      <c r="W7" s="24">
        <v>14</v>
      </c>
      <c r="X7" s="24">
        <v>96.2534090909091</v>
      </c>
      <c r="Y7" s="24">
        <v>65.2727272727273</v>
      </c>
      <c r="Z7" s="28">
        <v>24</v>
      </c>
      <c r="AA7" s="28">
        <v>53</v>
      </c>
      <c r="AB7" s="28">
        <v>70</v>
      </c>
      <c r="AC7" s="28">
        <v>102</v>
      </c>
      <c r="AD7" s="28">
        <v>38.9684523809524</v>
      </c>
      <c r="AE7" s="28">
        <v>18.5294117647059</v>
      </c>
    </row>
    <row r="8" spans="1:31">
      <c r="A8" s="8" t="s">
        <v>77</v>
      </c>
      <c r="B8" s="9">
        <v>13</v>
      </c>
      <c r="C8" s="9">
        <v>30</v>
      </c>
      <c r="D8" s="9">
        <v>40</v>
      </c>
      <c r="E8" s="9">
        <v>53</v>
      </c>
      <c r="F8" s="9">
        <v>24.5096033868093</v>
      </c>
      <c r="G8" s="9">
        <v>17.8846153846154</v>
      </c>
      <c r="H8" s="10">
        <v>8</v>
      </c>
      <c r="I8" s="10">
        <v>16</v>
      </c>
      <c r="J8" s="10">
        <v>22</v>
      </c>
      <c r="K8" s="10">
        <v>28</v>
      </c>
      <c r="L8" s="10">
        <v>59.423063973064</v>
      </c>
      <c r="M8" s="10">
        <v>44.4848484848485</v>
      </c>
      <c r="N8" s="20">
        <v>5</v>
      </c>
      <c r="O8" s="20">
        <v>14</v>
      </c>
      <c r="P8" s="20">
        <v>19</v>
      </c>
      <c r="Q8" s="20">
        <v>33</v>
      </c>
      <c r="R8" s="20">
        <v>67.26875</v>
      </c>
      <c r="S8" s="20">
        <v>28.625</v>
      </c>
      <c r="T8" s="24">
        <v>5</v>
      </c>
      <c r="U8" s="24">
        <v>6</v>
      </c>
      <c r="V8" s="24">
        <v>7</v>
      </c>
      <c r="W8" s="24">
        <v>14</v>
      </c>
      <c r="X8" s="24">
        <v>98.8685606060606</v>
      </c>
      <c r="Y8" s="24">
        <v>69.3181818181818</v>
      </c>
      <c r="Z8" s="28">
        <v>26</v>
      </c>
      <c r="AA8" s="28">
        <v>49</v>
      </c>
      <c r="AB8" s="28">
        <v>69</v>
      </c>
      <c r="AC8" s="28">
        <v>103</v>
      </c>
      <c r="AD8" s="28">
        <v>41.44935294825</v>
      </c>
      <c r="AE8" s="28">
        <v>20.9803921568627</v>
      </c>
    </row>
    <row r="9" spans="1:31">
      <c r="A9" s="8" t="s">
        <v>78</v>
      </c>
      <c r="B9" s="9">
        <v>13</v>
      </c>
      <c r="C9" s="9">
        <v>29</v>
      </c>
      <c r="D9" s="9">
        <v>41</v>
      </c>
      <c r="E9" s="9">
        <v>52</v>
      </c>
      <c r="F9" s="9">
        <v>24.6455916632387</v>
      </c>
      <c r="G9" s="9">
        <v>18.5384615384615</v>
      </c>
      <c r="H9" s="10">
        <v>8</v>
      </c>
      <c r="I9" s="10">
        <v>16</v>
      </c>
      <c r="J9" s="10">
        <v>22</v>
      </c>
      <c r="K9" s="10">
        <v>32</v>
      </c>
      <c r="L9" s="10">
        <v>60.3925925925926</v>
      </c>
      <c r="M9" s="10">
        <v>45.8484848484849</v>
      </c>
      <c r="N9" s="19">
        <v>5</v>
      </c>
      <c r="O9" s="19">
        <v>11</v>
      </c>
      <c r="P9" s="19">
        <v>16</v>
      </c>
      <c r="Q9" s="19">
        <v>33</v>
      </c>
      <c r="R9" s="19">
        <v>63.8645833333333</v>
      </c>
      <c r="S9" s="19">
        <v>32.3333333333333</v>
      </c>
      <c r="T9" s="24">
        <v>5</v>
      </c>
      <c r="U9" s="24">
        <v>6</v>
      </c>
      <c r="V9" s="24">
        <v>7</v>
      </c>
      <c r="W9" s="24">
        <v>13</v>
      </c>
      <c r="X9" s="24">
        <v>103.612878787879</v>
      </c>
      <c r="Y9" s="24">
        <v>74.4545454545455</v>
      </c>
      <c r="Z9" s="28">
        <v>27</v>
      </c>
      <c r="AA9" s="28">
        <v>51</v>
      </c>
      <c r="AB9" s="28">
        <v>70</v>
      </c>
      <c r="AC9" s="28">
        <v>99</v>
      </c>
      <c r="AD9" s="28">
        <v>42.0187075587811</v>
      </c>
      <c r="AE9" s="28">
        <v>22.1666666666667</v>
      </c>
    </row>
    <row r="10" spans="1:31">
      <c r="A10" s="8" t="s">
        <v>79</v>
      </c>
      <c r="B10" s="9">
        <v>14</v>
      </c>
      <c r="C10" s="9">
        <v>26</v>
      </c>
      <c r="D10" s="9">
        <v>40</v>
      </c>
      <c r="E10" s="9">
        <v>52</v>
      </c>
      <c r="F10" s="9">
        <v>23.9485825449061</v>
      </c>
      <c r="G10" s="9">
        <v>17.6538461538461</v>
      </c>
      <c r="H10" s="10">
        <v>10</v>
      </c>
      <c r="I10" s="10">
        <v>19</v>
      </c>
      <c r="J10" s="10">
        <v>23</v>
      </c>
      <c r="K10" s="10">
        <v>28</v>
      </c>
      <c r="L10" s="10">
        <v>60.2777777777778</v>
      </c>
      <c r="M10" s="10">
        <v>46.5454545454545</v>
      </c>
      <c r="N10" s="20">
        <v>4</v>
      </c>
      <c r="O10" s="20">
        <v>14</v>
      </c>
      <c r="P10" s="20">
        <v>19</v>
      </c>
      <c r="Q10" s="20">
        <v>35</v>
      </c>
      <c r="R10" s="20">
        <v>67.2229166666667</v>
      </c>
      <c r="S10" s="20">
        <v>28.4583333333333</v>
      </c>
      <c r="T10" s="24">
        <v>2</v>
      </c>
      <c r="U10" s="24">
        <v>3</v>
      </c>
      <c r="V10" s="24">
        <v>3</v>
      </c>
      <c r="W10" s="24">
        <v>4</v>
      </c>
      <c r="X10" s="24">
        <v>23.4318181818182</v>
      </c>
      <c r="Y10" s="24">
        <v>16.3636363636364</v>
      </c>
      <c r="Z10" s="28">
        <v>27</v>
      </c>
      <c r="AA10" s="28">
        <v>50</v>
      </c>
      <c r="AB10" s="28">
        <v>67</v>
      </c>
      <c r="AC10" s="28">
        <v>101</v>
      </c>
      <c r="AD10" s="28">
        <v>43.597247863792</v>
      </c>
      <c r="AE10" s="28">
        <v>24.078431372549</v>
      </c>
    </row>
    <row r="11" spans="1:31">
      <c r="A11" s="8" t="s">
        <v>80</v>
      </c>
      <c r="B11" s="9">
        <v>13</v>
      </c>
      <c r="C11" s="9">
        <v>29</v>
      </c>
      <c r="D11" s="9">
        <v>41</v>
      </c>
      <c r="E11" s="9">
        <v>52</v>
      </c>
      <c r="F11" s="9">
        <v>24.9488722062252</v>
      </c>
      <c r="G11" s="9">
        <v>18.4038461538461</v>
      </c>
      <c r="H11" s="10">
        <v>10</v>
      </c>
      <c r="I11" s="10">
        <v>18</v>
      </c>
      <c r="J11" s="10">
        <v>24</v>
      </c>
      <c r="K11" s="10">
        <v>27</v>
      </c>
      <c r="L11" s="10">
        <v>60.9195286195286</v>
      </c>
      <c r="M11" s="10">
        <v>46.6969696969697</v>
      </c>
      <c r="N11" s="20">
        <v>4</v>
      </c>
      <c r="O11" s="20">
        <v>14</v>
      </c>
      <c r="P11" s="20">
        <v>19</v>
      </c>
      <c r="Q11" s="20">
        <v>33</v>
      </c>
      <c r="R11" s="20">
        <v>66.8493055555555</v>
      </c>
      <c r="S11" s="20">
        <v>28.625</v>
      </c>
      <c r="T11" s="24">
        <v>1</v>
      </c>
      <c r="U11" s="24">
        <v>1</v>
      </c>
      <c r="V11" s="24">
        <v>1</v>
      </c>
      <c r="W11" s="24">
        <v>1</v>
      </c>
      <c r="X11" s="24">
        <v>49.3181818181818</v>
      </c>
      <c r="Y11" s="24">
        <v>48.5</v>
      </c>
      <c r="Z11" s="28">
        <v>26</v>
      </c>
      <c r="AA11" s="28">
        <v>52</v>
      </c>
      <c r="AB11" s="28">
        <v>67</v>
      </c>
      <c r="AC11" s="28">
        <v>99</v>
      </c>
      <c r="AD11" s="28">
        <v>43.1357190603514</v>
      </c>
      <c r="AE11" s="28">
        <v>23.5686274509804</v>
      </c>
    </row>
    <row r="12" spans="1:31">
      <c r="A12" s="8" t="s">
        <v>81</v>
      </c>
      <c r="B12" s="9">
        <v>13</v>
      </c>
      <c r="C12" s="9">
        <v>28</v>
      </c>
      <c r="D12" s="9">
        <v>38</v>
      </c>
      <c r="E12" s="9">
        <v>53</v>
      </c>
      <c r="F12" s="9">
        <v>24.3190319484437</v>
      </c>
      <c r="G12" s="9">
        <v>18.2307692307692</v>
      </c>
      <c r="H12" s="10">
        <v>8</v>
      </c>
      <c r="I12" s="10">
        <v>17</v>
      </c>
      <c r="J12" s="10">
        <v>24</v>
      </c>
      <c r="K12" s="10">
        <v>28</v>
      </c>
      <c r="L12" s="10">
        <v>61.2355218855219</v>
      </c>
      <c r="M12" s="10">
        <v>48</v>
      </c>
      <c r="N12" s="20">
        <v>5</v>
      </c>
      <c r="O12" s="20">
        <v>14</v>
      </c>
      <c r="P12" s="20">
        <v>19</v>
      </c>
      <c r="Q12" s="20">
        <v>33</v>
      </c>
      <c r="R12" s="20">
        <v>66.9680555555556</v>
      </c>
      <c r="S12" s="20">
        <v>28.8333333333333</v>
      </c>
      <c r="T12" s="24">
        <v>5</v>
      </c>
      <c r="U12" s="24">
        <v>6</v>
      </c>
      <c r="V12" s="24">
        <v>7</v>
      </c>
      <c r="W12" s="24">
        <v>13</v>
      </c>
      <c r="X12" s="24">
        <v>96.1515151515151</v>
      </c>
      <c r="Y12" s="24">
        <v>66.5</v>
      </c>
      <c r="Z12" s="28">
        <v>27</v>
      </c>
      <c r="AA12" s="28">
        <v>49</v>
      </c>
      <c r="AB12" s="28">
        <v>68</v>
      </c>
      <c r="AC12" s="28">
        <v>101</v>
      </c>
      <c r="AD12" s="28">
        <v>43.4177855233002</v>
      </c>
      <c r="AE12" s="28">
        <v>21.9705882352941</v>
      </c>
    </row>
    <row r="13" spans="1:31">
      <c r="A13" s="8" t="s">
        <v>82</v>
      </c>
      <c r="B13" s="9">
        <v>14</v>
      </c>
      <c r="C13" s="9">
        <v>29</v>
      </c>
      <c r="D13" s="9">
        <v>42</v>
      </c>
      <c r="E13" s="9">
        <v>54</v>
      </c>
      <c r="F13" s="9">
        <v>23.1392825311943</v>
      </c>
      <c r="G13" s="9">
        <v>16.4230769230769</v>
      </c>
      <c r="H13" s="10">
        <v>9</v>
      </c>
      <c r="I13" s="10">
        <v>16</v>
      </c>
      <c r="J13" s="10">
        <v>22</v>
      </c>
      <c r="K13" s="10">
        <v>31</v>
      </c>
      <c r="L13" s="10">
        <v>59.6675084175084</v>
      </c>
      <c r="M13" s="10">
        <v>44.4545454545455</v>
      </c>
      <c r="N13" s="20">
        <v>5</v>
      </c>
      <c r="O13" s="20">
        <v>14</v>
      </c>
      <c r="P13" s="20">
        <v>19</v>
      </c>
      <c r="Q13" s="20">
        <v>34</v>
      </c>
      <c r="R13" s="20">
        <v>67.2583333333333</v>
      </c>
      <c r="S13" s="20">
        <v>28.9166666666667</v>
      </c>
      <c r="T13" s="24">
        <v>5</v>
      </c>
      <c r="U13" s="24">
        <v>6</v>
      </c>
      <c r="V13" s="24">
        <v>7</v>
      </c>
      <c r="W13" s="24">
        <v>12</v>
      </c>
      <c r="X13" s="24">
        <v>62.8700757575757</v>
      </c>
      <c r="Y13" s="24">
        <v>33.8181818181818</v>
      </c>
      <c r="Z13" s="28">
        <v>27</v>
      </c>
      <c r="AA13" s="28">
        <v>47</v>
      </c>
      <c r="AB13" s="28">
        <v>68</v>
      </c>
      <c r="AC13" s="28">
        <v>98</v>
      </c>
      <c r="AD13" s="28">
        <v>42.2627620745268</v>
      </c>
      <c r="AE13" s="28">
        <v>22.3823529411765</v>
      </c>
    </row>
    <row r="14" spans="1:31">
      <c r="A14" s="8" t="s">
        <v>83</v>
      </c>
      <c r="B14" s="9">
        <v>13</v>
      </c>
      <c r="C14" s="9">
        <v>28</v>
      </c>
      <c r="D14" s="9">
        <v>40</v>
      </c>
      <c r="E14" s="9">
        <v>53</v>
      </c>
      <c r="F14" s="9">
        <v>24.2563674071027</v>
      </c>
      <c r="G14" s="9">
        <v>17.8076923076923</v>
      </c>
      <c r="H14" s="10">
        <v>7</v>
      </c>
      <c r="I14" s="10">
        <v>16</v>
      </c>
      <c r="J14" s="10">
        <v>22</v>
      </c>
      <c r="K14" s="10">
        <v>30</v>
      </c>
      <c r="L14" s="10">
        <v>60.6254208754209</v>
      </c>
      <c r="M14" s="10">
        <v>46.030303030303</v>
      </c>
      <c r="N14" s="20">
        <v>4</v>
      </c>
      <c r="O14" s="20">
        <v>14</v>
      </c>
      <c r="P14" s="20">
        <v>19</v>
      </c>
      <c r="Q14" s="20">
        <v>35</v>
      </c>
      <c r="R14" s="20">
        <v>67.8951388888889</v>
      </c>
      <c r="S14" s="20">
        <v>28.9166666666667</v>
      </c>
      <c r="T14" s="24">
        <v>4</v>
      </c>
      <c r="U14" s="24">
        <v>5</v>
      </c>
      <c r="V14" s="24">
        <v>5</v>
      </c>
      <c r="W14" s="24">
        <v>14</v>
      </c>
      <c r="X14" s="24">
        <v>44.1200757575757</v>
      </c>
      <c r="Y14" s="24">
        <v>17.3636363636364</v>
      </c>
      <c r="Z14" s="28">
        <v>25</v>
      </c>
      <c r="AA14" s="28">
        <v>53</v>
      </c>
      <c r="AB14" s="28">
        <v>68</v>
      </c>
      <c r="AC14" s="28">
        <v>100</v>
      </c>
      <c r="AD14" s="28">
        <v>41.7435475200181</v>
      </c>
      <c r="AE14" s="28">
        <v>21.9901960784314</v>
      </c>
    </row>
    <row r="15" spans="1:31">
      <c r="A15" s="8" t="s">
        <v>84</v>
      </c>
      <c r="B15" s="9">
        <v>13</v>
      </c>
      <c r="C15" s="9">
        <v>28</v>
      </c>
      <c r="D15" s="9">
        <v>40</v>
      </c>
      <c r="E15" s="9">
        <v>52</v>
      </c>
      <c r="F15" s="9">
        <v>24.1861373920197</v>
      </c>
      <c r="G15" s="9">
        <v>17.4038461538461</v>
      </c>
      <c r="H15" s="10">
        <v>9</v>
      </c>
      <c r="I15" s="10">
        <v>18</v>
      </c>
      <c r="J15" s="10">
        <v>21</v>
      </c>
      <c r="K15" s="10">
        <v>27</v>
      </c>
      <c r="L15" s="10">
        <v>60.3473063973064</v>
      </c>
      <c r="M15" s="10">
        <v>46.3636363636364</v>
      </c>
      <c r="N15" s="20">
        <v>4</v>
      </c>
      <c r="O15" s="20">
        <v>14</v>
      </c>
      <c r="P15" s="20">
        <v>19</v>
      </c>
      <c r="Q15" s="20">
        <v>34</v>
      </c>
      <c r="R15" s="20">
        <v>66.3527777777778</v>
      </c>
      <c r="S15" s="20">
        <v>28.5833333333333</v>
      </c>
      <c r="T15" s="24">
        <v>1</v>
      </c>
      <c r="U15" s="24">
        <v>1</v>
      </c>
      <c r="V15" s="24">
        <v>1</v>
      </c>
      <c r="W15" s="24">
        <v>2</v>
      </c>
      <c r="X15" s="24">
        <v>7.3125</v>
      </c>
      <c r="Y15" s="24">
        <v>3.86363636363636</v>
      </c>
      <c r="Z15" s="28">
        <v>26</v>
      </c>
      <c r="AA15" s="28">
        <v>51</v>
      </c>
      <c r="AB15" s="28">
        <v>71</v>
      </c>
      <c r="AC15" s="28">
        <v>101</v>
      </c>
      <c r="AD15" s="28">
        <v>43.4028265851795</v>
      </c>
      <c r="AE15" s="28">
        <v>23.2647058823529</v>
      </c>
    </row>
    <row r="16" spans="1:31">
      <c r="A16" s="8" t="s">
        <v>85</v>
      </c>
      <c r="B16" s="9">
        <v>13</v>
      </c>
      <c r="C16" s="9">
        <v>29</v>
      </c>
      <c r="D16" s="9">
        <v>40</v>
      </c>
      <c r="E16" s="9">
        <v>55</v>
      </c>
      <c r="F16" s="9">
        <v>24.3939136843549</v>
      </c>
      <c r="G16" s="9">
        <v>17.6346153846154</v>
      </c>
      <c r="H16" s="10">
        <v>9</v>
      </c>
      <c r="I16" s="10">
        <v>16</v>
      </c>
      <c r="J16" s="10">
        <v>21</v>
      </c>
      <c r="K16" s="10">
        <v>32</v>
      </c>
      <c r="L16" s="10">
        <v>61.8355218855219</v>
      </c>
      <c r="M16" s="10">
        <v>48.6969696969697</v>
      </c>
      <c r="N16" s="20">
        <v>5</v>
      </c>
      <c r="O16" s="20">
        <v>14</v>
      </c>
      <c r="P16" s="20">
        <v>19</v>
      </c>
      <c r="Q16" s="20">
        <v>33</v>
      </c>
      <c r="R16" s="20">
        <v>67.1006944444445</v>
      </c>
      <c r="S16" s="20">
        <v>28.875</v>
      </c>
      <c r="T16" s="24">
        <v>5</v>
      </c>
      <c r="U16" s="24">
        <v>6</v>
      </c>
      <c r="V16" s="24">
        <v>6</v>
      </c>
      <c r="W16" s="24">
        <v>14</v>
      </c>
      <c r="X16" s="24">
        <v>97.7367424242424</v>
      </c>
      <c r="Y16" s="24">
        <v>64.6363636363636</v>
      </c>
      <c r="Z16" s="28">
        <v>25</v>
      </c>
      <c r="AA16" s="28">
        <v>50</v>
      </c>
      <c r="AB16" s="28">
        <v>69</v>
      </c>
      <c r="AC16" s="28">
        <v>101</v>
      </c>
      <c r="AD16" s="28">
        <v>41.6187798856917</v>
      </c>
      <c r="AE16" s="28">
        <v>20.9705882352941</v>
      </c>
    </row>
    <row r="17" spans="1:31">
      <c r="A17" s="8" t="s">
        <v>86</v>
      </c>
      <c r="B17" s="9">
        <v>15</v>
      </c>
      <c r="C17" s="9">
        <v>27</v>
      </c>
      <c r="D17" s="9">
        <v>37</v>
      </c>
      <c r="E17" s="9">
        <v>53</v>
      </c>
      <c r="F17" s="9">
        <v>24.1013009049774</v>
      </c>
      <c r="G17" s="9">
        <v>17.4038461538461</v>
      </c>
      <c r="H17" s="10">
        <v>10</v>
      </c>
      <c r="I17" s="10">
        <v>15</v>
      </c>
      <c r="J17" s="10">
        <v>22</v>
      </c>
      <c r="K17" s="10">
        <v>29</v>
      </c>
      <c r="L17" s="10">
        <v>60.4427609427609</v>
      </c>
      <c r="M17" s="10">
        <v>48.030303030303</v>
      </c>
      <c r="N17" s="20">
        <v>5</v>
      </c>
      <c r="O17" s="20">
        <v>14</v>
      </c>
      <c r="P17" s="20">
        <v>19</v>
      </c>
      <c r="Q17" s="20">
        <v>34</v>
      </c>
      <c r="R17" s="20">
        <v>67.1513888888889</v>
      </c>
      <c r="S17" s="20">
        <v>28.625</v>
      </c>
      <c r="T17" s="24">
        <v>1</v>
      </c>
      <c r="U17" s="24">
        <v>1</v>
      </c>
      <c r="V17" s="24">
        <v>1</v>
      </c>
      <c r="W17" s="24">
        <v>1</v>
      </c>
      <c r="X17" s="24">
        <v>6.68181818181818</v>
      </c>
      <c r="Y17" s="24">
        <v>5.09090909090909</v>
      </c>
      <c r="Z17" s="28">
        <v>26</v>
      </c>
      <c r="AA17" s="28">
        <v>50</v>
      </c>
      <c r="AB17" s="28">
        <v>67</v>
      </c>
      <c r="AC17" s="28">
        <v>100</v>
      </c>
      <c r="AD17" s="28">
        <v>42.6476307189542</v>
      </c>
      <c r="AE17" s="28">
        <v>23.1372549019608</v>
      </c>
    </row>
    <row r="18" spans="1:31">
      <c r="A18" s="8" t="s">
        <v>87</v>
      </c>
      <c r="B18" s="9">
        <v>14</v>
      </c>
      <c r="C18" s="9">
        <v>31</v>
      </c>
      <c r="D18" s="9">
        <v>41</v>
      </c>
      <c r="E18" s="9">
        <v>52</v>
      </c>
      <c r="F18" s="9">
        <v>23.9754490607432</v>
      </c>
      <c r="G18" s="9">
        <v>17.6153846153846</v>
      </c>
      <c r="H18" s="10">
        <v>9</v>
      </c>
      <c r="I18" s="10">
        <v>17</v>
      </c>
      <c r="J18" s="10">
        <v>23</v>
      </c>
      <c r="K18" s="10">
        <v>30</v>
      </c>
      <c r="L18" s="10">
        <v>60.243265993266</v>
      </c>
      <c r="M18" s="10">
        <v>46.6969696969697</v>
      </c>
      <c r="N18" s="20">
        <v>4</v>
      </c>
      <c r="O18" s="20">
        <v>14</v>
      </c>
      <c r="P18" s="20">
        <v>19</v>
      </c>
      <c r="Q18" s="20">
        <v>35</v>
      </c>
      <c r="R18" s="20">
        <v>66.4569444444445</v>
      </c>
      <c r="S18" s="20">
        <v>28.7916666666667</v>
      </c>
      <c r="T18" s="24">
        <v>4</v>
      </c>
      <c r="U18" s="24">
        <v>5</v>
      </c>
      <c r="V18" s="24">
        <v>6</v>
      </c>
      <c r="W18" s="24">
        <v>11</v>
      </c>
      <c r="X18" s="24">
        <v>85.7598484848485</v>
      </c>
      <c r="Y18" s="24">
        <v>59.1818181818182</v>
      </c>
      <c r="Z18" s="28">
        <v>29</v>
      </c>
      <c r="AA18" s="28">
        <v>52</v>
      </c>
      <c r="AB18" s="28">
        <v>69</v>
      </c>
      <c r="AC18" s="28">
        <v>102</v>
      </c>
      <c r="AD18" s="28">
        <v>42.4498514557338</v>
      </c>
      <c r="AE18" s="28">
        <v>23.156862745098</v>
      </c>
    </row>
    <row r="19" spans="1:31">
      <c r="A19" s="8" t="s">
        <v>88</v>
      </c>
      <c r="B19" s="9">
        <v>12</v>
      </c>
      <c r="C19" s="9">
        <v>28</v>
      </c>
      <c r="D19" s="9">
        <v>39</v>
      </c>
      <c r="E19" s="9">
        <v>53</v>
      </c>
      <c r="F19" s="9">
        <v>24.2363739201975</v>
      </c>
      <c r="G19" s="9">
        <v>17.1923076923077</v>
      </c>
      <c r="H19" s="10">
        <v>8</v>
      </c>
      <c r="I19" s="10">
        <v>15</v>
      </c>
      <c r="J19" s="10">
        <v>22</v>
      </c>
      <c r="K19" s="10">
        <v>30</v>
      </c>
      <c r="L19" s="10">
        <v>61.1242424242424</v>
      </c>
      <c r="M19" s="10">
        <v>45.6666666666667</v>
      </c>
      <c r="N19" s="20">
        <v>4</v>
      </c>
      <c r="O19" s="20">
        <v>14</v>
      </c>
      <c r="P19" s="20">
        <v>19</v>
      </c>
      <c r="Q19" s="20">
        <v>34</v>
      </c>
      <c r="R19" s="20">
        <v>67.4847222222222</v>
      </c>
      <c r="S19" s="20">
        <v>28.9583333333333</v>
      </c>
      <c r="T19" s="24">
        <v>5</v>
      </c>
      <c r="U19" s="24">
        <v>6</v>
      </c>
      <c r="V19" s="24">
        <v>7</v>
      </c>
      <c r="W19" s="24">
        <v>13</v>
      </c>
      <c r="X19" s="24">
        <v>94.6924242424243</v>
      </c>
      <c r="Y19" s="24">
        <v>66.2272727272727</v>
      </c>
      <c r="Z19" s="28">
        <v>23</v>
      </c>
      <c r="AA19" s="28">
        <v>50</v>
      </c>
      <c r="AB19" s="28">
        <v>68</v>
      </c>
      <c r="AC19" s="28">
        <v>104</v>
      </c>
      <c r="AD19" s="28">
        <v>39.1977904040404</v>
      </c>
      <c r="AE19" s="28">
        <v>19.6274509803922</v>
      </c>
    </row>
    <row r="20" spans="1:31">
      <c r="A20" s="8" t="s">
        <v>89</v>
      </c>
      <c r="B20" s="9">
        <v>15</v>
      </c>
      <c r="C20" s="9">
        <v>28</v>
      </c>
      <c r="D20" s="9">
        <v>41</v>
      </c>
      <c r="E20" s="9">
        <v>51</v>
      </c>
      <c r="F20" s="9">
        <v>23.9211675579323</v>
      </c>
      <c r="G20" s="9">
        <v>17.5769230769231</v>
      </c>
      <c r="H20" s="10">
        <v>10</v>
      </c>
      <c r="I20" s="10">
        <v>16</v>
      </c>
      <c r="J20" s="10">
        <v>23</v>
      </c>
      <c r="K20" s="10">
        <v>28</v>
      </c>
      <c r="L20" s="10">
        <v>61.2321548821549</v>
      </c>
      <c r="M20" s="10">
        <v>46.9393939393939</v>
      </c>
      <c r="N20" s="20">
        <v>4</v>
      </c>
      <c r="O20" s="20">
        <v>14</v>
      </c>
      <c r="P20" s="20">
        <v>19</v>
      </c>
      <c r="Q20" s="20">
        <v>35</v>
      </c>
      <c r="R20" s="20">
        <v>66.4875</v>
      </c>
      <c r="S20" s="20">
        <v>28.625</v>
      </c>
      <c r="T20" s="24">
        <v>5</v>
      </c>
      <c r="U20" s="24">
        <v>6</v>
      </c>
      <c r="V20" s="24">
        <v>7</v>
      </c>
      <c r="W20" s="24">
        <v>14</v>
      </c>
      <c r="X20" s="24">
        <v>105.098106060606</v>
      </c>
      <c r="Y20" s="24">
        <v>71.6818181818182</v>
      </c>
      <c r="Z20" s="28">
        <v>24</v>
      </c>
      <c r="AA20" s="28">
        <v>50</v>
      </c>
      <c r="AB20" s="28">
        <v>70</v>
      </c>
      <c r="AC20" s="28">
        <v>100</v>
      </c>
      <c r="AD20" s="28">
        <v>40.7626220185044</v>
      </c>
      <c r="AE20" s="28">
        <v>20.1862745098039</v>
      </c>
    </row>
    <row r="21" spans="1:31">
      <c r="A21" s="8" t="s">
        <v>90</v>
      </c>
      <c r="B21" s="9">
        <v>12</v>
      </c>
      <c r="C21" s="9">
        <v>29</v>
      </c>
      <c r="D21" s="9">
        <v>40</v>
      </c>
      <c r="E21" s="9">
        <v>53</v>
      </c>
      <c r="F21" s="9">
        <v>23.1069844371315</v>
      </c>
      <c r="G21" s="9">
        <v>16.6538461538461</v>
      </c>
      <c r="H21" s="10">
        <v>9</v>
      </c>
      <c r="I21" s="10">
        <v>15</v>
      </c>
      <c r="J21" s="10">
        <v>21</v>
      </c>
      <c r="K21" s="10">
        <v>26</v>
      </c>
      <c r="L21" s="10">
        <v>62.4856902356902</v>
      </c>
      <c r="M21" s="10">
        <v>47.5454545454545</v>
      </c>
      <c r="N21" s="20">
        <v>4</v>
      </c>
      <c r="O21" s="20">
        <v>14</v>
      </c>
      <c r="P21" s="20">
        <v>19</v>
      </c>
      <c r="Q21" s="20">
        <v>35</v>
      </c>
      <c r="R21" s="20">
        <v>67.0666666666667</v>
      </c>
      <c r="S21" s="20">
        <v>28.375</v>
      </c>
      <c r="T21" s="24">
        <v>5</v>
      </c>
      <c r="U21" s="24">
        <v>6</v>
      </c>
      <c r="V21" s="24">
        <v>6</v>
      </c>
      <c r="W21" s="24">
        <v>11</v>
      </c>
      <c r="X21" s="24">
        <v>98.1378787878788</v>
      </c>
      <c r="Y21" s="24">
        <v>68.5</v>
      </c>
      <c r="Z21" s="28">
        <v>23</v>
      </c>
      <c r="AA21" s="28">
        <v>54</v>
      </c>
      <c r="AB21" s="28">
        <v>69</v>
      </c>
      <c r="AC21" s="28">
        <v>103</v>
      </c>
      <c r="AD21" s="28">
        <v>40.7045502291826</v>
      </c>
      <c r="AE21" s="28">
        <v>20.6470588235294</v>
      </c>
    </row>
    <row r="22" spans="1:31">
      <c r="A22" s="8" t="s">
        <v>91</v>
      </c>
      <c r="B22" s="9">
        <v>12</v>
      </c>
      <c r="C22" s="9">
        <v>29</v>
      </c>
      <c r="D22" s="9">
        <v>39</v>
      </c>
      <c r="E22" s="9">
        <v>55</v>
      </c>
      <c r="F22" s="9">
        <v>24.0196524064171</v>
      </c>
      <c r="G22" s="9">
        <v>17.3076923076923</v>
      </c>
      <c r="H22" s="10">
        <v>11</v>
      </c>
      <c r="I22" s="10">
        <v>17</v>
      </c>
      <c r="J22" s="10">
        <v>24</v>
      </c>
      <c r="K22" s="10">
        <v>28</v>
      </c>
      <c r="L22" s="10">
        <v>60.36632996633</v>
      </c>
      <c r="M22" s="10">
        <v>47.2424242424242</v>
      </c>
      <c r="N22" s="20">
        <v>4</v>
      </c>
      <c r="O22" s="20">
        <v>14</v>
      </c>
      <c r="P22" s="20">
        <v>19</v>
      </c>
      <c r="Q22" s="20">
        <v>33</v>
      </c>
      <c r="R22" s="20">
        <v>66.7847222222222</v>
      </c>
      <c r="S22" s="20">
        <v>28.875</v>
      </c>
      <c r="T22" s="24">
        <v>5</v>
      </c>
      <c r="U22" s="24">
        <v>6</v>
      </c>
      <c r="V22" s="24">
        <v>8</v>
      </c>
      <c r="W22" s="24">
        <v>15</v>
      </c>
      <c r="X22" s="24">
        <v>96.1954545454546</v>
      </c>
      <c r="Y22" s="24">
        <v>66.2272727272727</v>
      </c>
      <c r="Z22" s="28">
        <v>24</v>
      </c>
      <c r="AA22" s="28">
        <v>50</v>
      </c>
      <c r="AB22" s="28">
        <v>66</v>
      </c>
      <c r="AC22" s="28">
        <v>101</v>
      </c>
      <c r="AD22" s="28">
        <v>45.8480218855219</v>
      </c>
      <c r="AE22" s="28">
        <v>23.6176470588235</v>
      </c>
    </row>
    <row r="23" ht="14.75" spans="1:31">
      <c r="A23" s="8" t="s">
        <v>92</v>
      </c>
      <c r="B23" s="9">
        <v>13</v>
      </c>
      <c r="C23" s="9">
        <v>28</v>
      </c>
      <c r="D23" s="9">
        <v>41</v>
      </c>
      <c r="E23" s="9">
        <v>53</v>
      </c>
      <c r="F23" s="9">
        <v>22.4967640202934</v>
      </c>
      <c r="G23" s="9">
        <v>15.6730769230769</v>
      </c>
      <c r="H23" s="11">
        <v>9</v>
      </c>
      <c r="I23" s="11">
        <v>17</v>
      </c>
      <c r="J23" s="11">
        <v>23</v>
      </c>
      <c r="K23" s="11">
        <v>29</v>
      </c>
      <c r="L23" s="11">
        <v>60.2683501683501</v>
      </c>
      <c r="M23" s="11">
        <v>44.1818181818181</v>
      </c>
      <c r="N23" s="20">
        <v>4</v>
      </c>
      <c r="O23" s="20">
        <v>14</v>
      </c>
      <c r="P23" s="20">
        <v>19</v>
      </c>
      <c r="Q23" s="20">
        <v>34</v>
      </c>
      <c r="R23" s="25">
        <v>66.8173611111111</v>
      </c>
      <c r="S23" s="25">
        <v>28.625</v>
      </c>
      <c r="T23" s="24">
        <v>5</v>
      </c>
      <c r="U23" s="24">
        <v>6</v>
      </c>
      <c r="V23" s="24">
        <v>7</v>
      </c>
      <c r="W23" s="24">
        <v>13</v>
      </c>
      <c r="X23" s="24">
        <v>95.5204545454546</v>
      </c>
      <c r="Y23" s="24">
        <v>67.7272727272727</v>
      </c>
      <c r="Z23" s="28">
        <v>25</v>
      </c>
      <c r="AA23" s="28">
        <v>54</v>
      </c>
      <c r="AB23" s="28">
        <v>69</v>
      </c>
      <c r="AC23" s="28">
        <v>101</v>
      </c>
      <c r="AD23" s="28">
        <v>42.316262590895</v>
      </c>
      <c r="AE23" s="28">
        <v>24.5392156862745</v>
      </c>
    </row>
    <row r="24" ht="14.75" spans="1:31">
      <c r="A24" s="2" t="s">
        <v>18</v>
      </c>
      <c r="B24" s="12">
        <v>15</v>
      </c>
      <c r="C24" s="12">
        <v>28</v>
      </c>
      <c r="D24" s="12">
        <v>41</v>
      </c>
      <c r="E24" s="12">
        <v>53</v>
      </c>
      <c r="F24" s="13">
        <v>24.66</v>
      </c>
      <c r="G24" s="14">
        <v>18.35</v>
      </c>
      <c r="H24" s="14">
        <v>11</v>
      </c>
      <c r="I24" s="14">
        <v>17</v>
      </c>
      <c r="J24" s="14">
        <v>20</v>
      </c>
      <c r="K24" s="14">
        <v>29</v>
      </c>
      <c r="L24" s="14">
        <v>59.11</v>
      </c>
      <c r="M24" s="14">
        <v>44.21</v>
      </c>
      <c r="N24" s="21">
        <v>5</v>
      </c>
      <c r="O24" s="21">
        <v>14</v>
      </c>
      <c r="P24" s="21">
        <v>19</v>
      </c>
      <c r="Q24" s="21">
        <v>35</v>
      </c>
      <c r="R24" s="21">
        <v>67.2368055555556</v>
      </c>
      <c r="S24" s="21">
        <v>28.625</v>
      </c>
      <c r="T24" s="26">
        <v>5</v>
      </c>
      <c r="U24" s="26">
        <v>6</v>
      </c>
      <c r="V24" s="26">
        <v>8</v>
      </c>
      <c r="W24" s="26">
        <v>15</v>
      </c>
      <c r="X24" s="26">
        <v>95.16</v>
      </c>
      <c r="Y24" s="26">
        <v>66.41</v>
      </c>
      <c r="Z24" s="26">
        <v>31</v>
      </c>
      <c r="AA24" s="26">
        <v>49</v>
      </c>
      <c r="AB24" s="26">
        <v>67</v>
      </c>
      <c r="AC24" s="26">
        <v>101</v>
      </c>
      <c r="AD24" s="26">
        <v>41.18</v>
      </c>
      <c r="AE24" s="26">
        <v>21.55</v>
      </c>
    </row>
    <row r="25" spans="1:31">
      <c r="A25" s="15" t="s">
        <v>31</v>
      </c>
      <c r="B25" s="2">
        <f>(B3-B24)/B24</f>
        <v>-0.0666666666666667</v>
      </c>
      <c r="C25" s="2">
        <f t="shared" ref="C25:AE25" si="0">(C3-C24)/C24</f>
        <v>-0.0357142857142857</v>
      </c>
      <c r="D25" s="2">
        <f t="shared" si="0"/>
        <v>-0.0487804878048781</v>
      </c>
      <c r="E25" s="2">
        <f t="shared" si="0"/>
        <v>0.0188679245283019</v>
      </c>
      <c r="F25" s="2">
        <f t="shared" si="0"/>
        <v>-0.04054992961176</v>
      </c>
      <c r="G25" s="2">
        <f t="shared" si="0"/>
        <v>-0.0630894990568011</v>
      </c>
      <c r="H25" s="2">
        <f t="shared" si="0"/>
        <v>-0.181818181818182</v>
      </c>
      <c r="I25" s="2">
        <f t="shared" si="0"/>
        <v>-0.0588235294117647</v>
      </c>
      <c r="J25" s="2">
        <f t="shared" si="0"/>
        <v>0.15</v>
      </c>
      <c r="K25" s="2">
        <f t="shared" si="0"/>
        <v>-0.0344827586206897</v>
      </c>
      <c r="L25" s="2">
        <f t="shared" si="0"/>
        <v>0.0677974694215598</v>
      </c>
      <c r="M25" s="2">
        <f t="shared" si="0"/>
        <v>0.157012330954877</v>
      </c>
      <c r="N25" s="2">
        <f t="shared" si="0"/>
        <v>-0.2</v>
      </c>
      <c r="O25" s="2">
        <f t="shared" si="0"/>
        <v>-0.0714285714285714</v>
      </c>
      <c r="P25" s="2">
        <f t="shared" si="0"/>
        <v>0</v>
      </c>
      <c r="Q25" s="2">
        <f t="shared" si="0"/>
        <v>-0.0285714285714286</v>
      </c>
      <c r="R25" s="2">
        <f t="shared" si="0"/>
        <v>0.00668243459579963</v>
      </c>
      <c r="S25" s="2">
        <f t="shared" si="0"/>
        <v>0.0189228529839895</v>
      </c>
      <c r="T25" s="2">
        <f t="shared" si="0"/>
        <v>0</v>
      </c>
      <c r="U25" s="2">
        <f t="shared" si="0"/>
        <v>0</v>
      </c>
      <c r="V25" s="2">
        <f t="shared" si="0"/>
        <v>-0.125</v>
      </c>
      <c r="W25" s="2">
        <f t="shared" si="0"/>
        <v>-0.0666666666666667</v>
      </c>
      <c r="X25" s="2">
        <f t="shared" si="0"/>
        <v>-0.00598035843937477</v>
      </c>
      <c r="Y25" s="2">
        <f t="shared" si="0"/>
        <v>0.00546193755047882</v>
      </c>
      <c r="Z25" s="2">
        <f t="shared" si="0"/>
        <v>0</v>
      </c>
      <c r="AA25" s="2">
        <f t="shared" si="0"/>
        <v>-0.0204081632653061</v>
      </c>
      <c r="AB25" s="2">
        <f t="shared" si="0"/>
        <v>-0.0149253731343284</v>
      </c>
      <c r="AC25" s="2">
        <f t="shared" si="0"/>
        <v>0</v>
      </c>
      <c r="AD25" s="2">
        <f t="shared" si="0"/>
        <v>0.00424168531723658</v>
      </c>
      <c r="AE25" s="2">
        <f t="shared" si="0"/>
        <v>0.0172421636868212</v>
      </c>
    </row>
    <row r="26" spans="1:31">
      <c r="A26" s="15"/>
      <c r="B26" s="2">
        <f>(B4-B24)/B24</f>
        <v>-0.2</v>
      </c>
      <c r="C26" s="2">
        <f t="shared" ref="C26:AE26" si="1">(C4-C24)/C24</f>
        <v>-0.0357142857142857</v>
      </c>
      <c r="D26" s="2">
        <f t="shared" si="1"/>
        <v>-0.0731707317073171</v>
      </c>
      <c r="E26" s="2">
        <f t="shared" si="1"/>
        <v>0</v>
      </c>
      <c r="F26" s="2">
        <f t="shared" si="1"/>
        <v>-0.0180324621071736</v>
      </c>
      <c r="G26" s="2">
        <f t="shared" si="1"/>
        <v>-0.0494655208551663</v>
      </c>
      <c r="H26" s="2">
        <f t="shared" si="1"/>
        <v>-0.363636363636364</v>
      </c>
      <c r="I26" s="2">
        <f t="shared" si="1"/>
        <v>-0.0588235294117647</v>
      </c>
      <c r="J26" s="2">
        <f t="shared" si="1"/>
        <v>0.15</v>
      </c>
      <c r="K26" s="2">
        <f t="shared" si="1"/>
        <v>-0.0689655172413793</v>
      </c>
      <c r="L26" s="2">
        <f t="shared" si="1"/>
        <v>0.0732401554597463</v>
      </c>
      <c r="M26" s="2">
        <f t="shared" si="1"/>
        <v>0.102863057172038</v>
      </c>
      <c r="N26" s="2">
        <f t="shared" si="1"/>
        <v>0</v>
      </c>
      <c r="O26" s="2">
        <f t="shared" si="1"/>
        <v>0</v>
      </c>
      <c r="P26" s="2">
        <f t="shared" si="1"/>
        <v>0</v>
      </c>
      <c r="Q26" s="2">
        <f t="shared" si="1"/>
        <v>-0.0285714285714286</v>
      </c>
      <c r="R26" s="2">
        <f t="shared" si="1"/>
        <v>-0.0112682166059019</v>
      </c>
      <c r="S26" s="2">
        <f t="shared" si="1"/>
        <v>-0.00291120815138167</v>
      </c>
      <c r="T26" s="2">
        <f t="shared" si="1"/>
        <v>-0.2</v>
      </c>
      <c r="U26" s="2">
        <f t="shared" si="1"/>
        <v>-0.166666666666667</v>
      </c>
      <c r="V26" s="2">
        <f t="shared" si="1"/>
        <v>-0.25</v>
      </c>
      <c r="W26" s="2">
        <f t="shared" si="1"/>
        <v>0</v>
      </c>
      <c r="X26" s="2">
        <f t="shared" si="1"/>
        <v>0.0245463780299842</v>
      </c>
      <c r="Y26" s="2">
        <f t="shared" si="1"/>
        <v>0.00272412424196803</v>
      </c>
      <c r="Z26" s="2">
        <f t="shared" si="1"/>
        <v>-0.193548387096774</v>
      </c>
      <c r="AA26" s="2">
        <f t="shared" si="1"/>
        <v>0.0204081632653061</v>
      </c>
      <c r="AB26" s="2">
        <f t="shared" si="1"/>
        <v>0</v>
      </c>
      <c r="AC26" s="2">
        <f t="shared" si="1"/>
        <v>-0.0099009900990099</v>
      </c>
      <c r="AD26" s="2">
        <f t="shared" si="1"/>
        <v>0.0573068819415565</v>
      </c>
      <c r="AE26" s="2">
        <f t="shared" si="1"/>
        <v>0.0258859924480232</v>
      </c>
    </row>
    <row r="27" spans="1:31">
      <c r="A27" s="15"/>
      <c r="B27" s="2">
        <f>(B5-B24)/B24</f>
        <v>-0.266666666666667</v>
      </c>
      <c r="C27" s="2">
        <f t="shared" ref="C27:AE27" si="2">(C5-C24)/C24</f>
        <v>0</v>
      </c>
      <c r="D27" s="2">
        <f t="shared" si="2"/>
        <v>0</v>
      </c>
      <c r="E27" s="2">
        <f t="shared" si="2"/>
        <v>-0.0188679245283019</v>
      </c>
      <c r="F27" s="2">
        <f t="shared" si="2"/>
        <v>0.00430200097439167</v>
      </c>
      <c r="G27" s="2">
        <f t="shared" si="2"/>
        <v>0.0176063718298037</v>
      </c>
      <c r="H27" s="2">
        <f t="shared" si="2"/>
        <v>-0.181818181818182</v>
      </c>
      <c r="I27" s="2">
        <f t="shared" si="2"/>
        <v>-0.176470588235294</v>
      </c>
      <c r="J27" s="2">
        <f t="shared" si="2"/>
        <v>0.05</v>
      </c>
      <c r="K27" s="2">
        <f t="shared" si="2"/>
        <v>-0.0689655172413793</v>
      </c>
      <c r="L27" s="2">
        <f t="shared" si="2"/>
        <v>0.0288442423444967</v>
      </c>
      <c r="M27" s="2">
        <f t="shared" si="2"/>
        <v>0.0692767987497693</v>
      </c>
      <c r="N27" s="2">
        <f t="shared" si="2"/>
        <v>-0.2</v>
      </c>
      <c r="O27" s="2">
        <f t="shared" si="2"/>
        <v>0</v>
      </c>
      <c r="P27" s="2">
        <f t="shared" si="2"/>
        <v>0</v>
      </c>
      <c r="Q27" s="2">
        <f t="shared" si="2"/>
        <v>0</v>
      </c>
      <c r="R27" s="2">
        <f t="shared" si="2"/>
        <v>-0.00256142778942704</v>
      </c>
      <c r="S27" s="2">
        <f t="shared" si="2"/>
        <v>0.0116448326055301</v>
      </c>
      <c r="T27" s="2">
        <f t="shared" si="2"/>
        <v>0</v>
      </c>
      <c r="U27" s="2">
        <f t="shared" si="2"/>
        <v>-0.166666666666667</v>
      </c>
      <c r="V27" s="2">
        <f t="shared" si="2"/>
        <v>-0.125</v>
      </c>
      <c r="W27" s="2">
        <f t="shared" si="2"/>
        <v>-0.133333333333333</v>
      </c>
      <c r="X27" s="2">
        <f t="shared" si="2"/>
        <v>0.010431394652706</v>
      </c>
      <c r="Y27" s="2">
        <f t="shared" si="2"/>
        <v>-1.368906654254e-5</v>
      </c>
      <c r="Z27" s="2">
        <f t="shared" si="2"/>
        <v>-0.193548387096774</v>
      </c>
      <c r="AA27" s="2">
        <f t="shared" si="2"/>
        <v>0.0408163265306122</v>
      </c>
      <c r="AB27" s="2">
        <f t="shared" si="2"/>
        <v>-0.0149253731343284</v>
      </c>
      <c r="AC27" s="2">
        <f t="shared" si="2"/>
        <v>-0.0198019801980198</v>
      </c>
      <c r="AD27" s="2">
        <f t="shared" si="2"/>
        <v>0.120965176117591</v>
      </c>
      <c r="AE27" s="2">
        <f t="shared" si="2"/>
        <v>0.170101451253355</v>
      </c>
    </row>
    <row r="28" spans="1:31">
      <c r="A28" s="15"/>
      <c r="B28" s="2">
        <f>(B6-B24)/B24</f>
        <v>-0.133333333333333</v>
      </c>
      <c r="C28" s="2">
        <f t="shared" ref="C28:AE28" si="3">(C6-C24)/C24</f>
        <v>0</v>
      </c>
      <c r="D28" s="2">
        <f t="shared" si="3"/>
        <v>-0.0487804878048781</v>
      </c>
      <c r="E28" s="2">
        <f t="shared" si="3"/>
        <v>0.0188679245283019</v>
      </c>
      <c r="F28" s="2">
        <f t="shared" si="3"/>
        <v>-0.0212951258464355</v>
      </c>
      <c r="G28" s="2">
        <f t="shared" si="3"/>
        <v>-0.023265562775101</v>
      </c>
      <c r="H28" s="2">
        <f t="shared" si="3"/>
        <v>-0.272727272727273</v>
      </c>
      <c r="I28" s="2">
        <f t="shared" si="3"/>
        <v>-0.0588235294117647</v>
      </c>
      <c r="J28" s="2">
        <f t="shared" si="3"/>
        <v>0.05</v>
      </c>
      <c r="K28" s="2">
        <f t="shared" si="3"/>
        <v>0.0689655172413793</v>
      </c>
      <c r="L28" s="2">
        <f t="shared" si="3"/>
        <v>0.0182550708688411</v>
      </c>
      <c r="M28" s="2">
        <f t="shared" si="3"/>
        <v>0.0500846510799005</v>
      </c>
      <c r="N28" s="2">
        <f t="shared" si="3"/>
        <v>-0.2</v>
      </c>
      <c r="O28" s="2">
        <f t="shared" si="3"/>
        <v>0</v>
      </c>
      <c r="P28" s="2">
        <f t="shared" si="3"/>
        <v>0</v>
      </c>
      <c r="Q28" s="2">
        <f t="shared" si="3"/>
        <v>0</v>
      </c>
      <c r="R28" s="2">
        <f t="shared" si="3"/>
        <v>-0.00473037874015004</v>
      </c>
      <c r="S28" s="2">
        <f t="shared" si="3"/>
        <v>0.00582241630276681</v>
      </c>
      <c r="T28" s="2">
        <f t="shared" si="3"/>
        <v>0</v>
      </c>
      <c r="U28" s="2">
        <f t="shared" si="3"/>
        <v>0</v>
      </c>
      <c r="V28" s="2">
        <f t="shared" si="3"/>
        <v>-0.125</v>
      </c>
      <c r="W28" s="2">
        <f t="shared" si="3"/>
        <v>-0.266666666666667</v>
      </c>
      <c r="X28" s="2">
        <f t="shared" si="3"/>
        <v>0.0455556510884375</v>
      </c>
      <c r="Y28" s="2">
        <f t="shared" si="3"/>
        <v>0.0773295368988783</v>
      </c>
      <c r="Z28" s="2">
        <f t="shared" si="3"/>
        <v>-0.0967741935483871</v>
      </c>
      <c r="AA28" s="2">
        <f t="shared" si="3"/>
        <v>0.0408163265306122</v>
      </c>
      <c r="AB28" s="2">
        <f t="shared" si="3"/>
        <v>0</v>
      </c>
      <c r="AC28" s="2">
        <f t="shared" si="3"/>
        <v>-0.0099009900990099</v>
      </c>
      <c r="AD28" s="2">
        <f t="shared" si="3"/>
        <v>0.0601726948450801</v>
      </c>
      <c r="AE28" s="2">
        <f t="shared" si="3"/>
        <v>0.0213366088894942</v>
      </c>
    </row>
    <row r="29" spans="1:31">
      <c r="A29" s="15"/>
      <c r="B29" s="2">
        <f>(B7-B24)/B24</f>
        <v>-0.2</v>
      </c>
      <c r="C29" s="2">
        <f t="shared" ref="C29:AE29" si="4">(C7-C24)/C24</f>
        <v>0.107142857142857</v>
      </c>
      <c r="D29" s="2">
        <f t="shared" si="4"/>
        <v>0</v>
      </c>
      <c r="E29" s="2">
        <f t="shared" si="4"/>
        <v>0.0188679245283019</v>
      </c>
      <c r="F29" s="2">
        <f t="shared" si="4"/>
        <v>-0.0402521043354014</v>
      </c>
      <c r="G29" s="2">
        <f t="shared" si="4"/>
        <v>-0.0609935024103978</v>
      </c>
      <c r="H29" s="2">
        <f t="shared" si="4"/>
        <v>-0.181818181818182</v>
      </c>
      <c r="I29" s="2">
        <f t="shared" si="4"/>
        <v>-0.117647058823529</v>
      </c>
      <c r="J29" s="2">
        <f t="shared" si="4"/>
        <v>0.05</v>
      </c>
      <c r="K29" s="2">
        <f t="shared" si="4"/>
        <v>-0.0344827586206897</v>
      </c>
      <c r="L29" s="2">
        <f t="shared" si="4"/>
        <v>0.0345973693968956</v>
      </c>
      <c r="M29" s="2">
        <f t="shared" si="4"/>
        <v>0.0727039679765302</v>
      </c>
      <c r="N29" s="2">
        <f t="shared" si="4"/>
        <v>0</v>
      </c>
      <c r="O29" s="2">
        <f t="shared" si="4"/>
        <v>0</v>
      </c>
      <c r="P29" s="2">
        <f t="shared" si="4"/>
        <v>0</v>
      </c>
      <c r="Q29" s="2">
        <f t="shared" si="4"/>
        <v>0</v>
      </c>
      <c r="R29" s="2">
        <f t="shared" si="4"/>
        <v>-0.0049989155245246</v>
      </c>
      <c r="S29" s="2">
        <f t="shared" si="4"/>
        <v>0.00436681222707424</v>
      </c>
      <c r="T29" s="2">
        <f t="shared" si="4"/>
        <v>0</v>
      </c>
      <c r="U29" s="2">
        <f t="shared" si="4"/>
        <v>0</v>
      </c>
      <c r="V29" s="2">
        <f t="shared" si="4"/>
        <v>-0.125</v>
      </c>
      <c r="W29" s="2">
        <f t="shared" si="4"/>
        <v>-0.0666666666666667</v>
      </c>
      <c r="X29" s="2">
        <f t="shared" si="4"/>
        <v>0.0114902174328405</v>
      </c>
      <c r="Y29" s="2">
        <f t="shared" si="4"/>
        <v>-0.0171250222447328</v>
      </c>
      <c r="Z29" s="2">
        <f t="shared" si="4"/>
        <v>-0.225806451612903</v>
      </c>
      <c r="AA29" s="2">
        <f t="shared" si="4"/>
        <v>0.0816326530612245</v>
      </c>
      <c r="AB29" s="2">
        <f t="shared" si="4"/>
        <v>0.0447761194029851</v>
      </c>
      <c r="AC29" s="2">
        <f t="shared" si="4"/>
        <v>0.0099009900990099</v>
      </c>
      <c r="AD29" s="2">
        <f t="shared" si="4"/>
        <v>-0.0537044103702671</v>
      </c>
      <c r="AE29" s="2">
        <f t="shared" si="4"/>
        <v>-0.140166507438241</v>
      </c>
    </row>
    <row r="30" spans="1:31">
      <c r="A30" s="15"/>
      <c r="B30" s="2">
        <f>(B8-B24)/B24</f>
        <v>-0.133333333333333</v>
      </c>
      <c r="C30" s="2">
        <f t="shared" ref="C30:AE30" si="5">(C8-C24)/C24</f>
        <v>0.0714285714285714</v>
      </c>
      <c r="D30" s="2">
        <f t="shared" si="5"/>
        <v>-0.024390243902439</v>
      </c>
      <c r="E30" s="2">
        <f t="shared" si="5"/>
        <v>0</v>
      </c>
      <c r="F30" s="2">
        <f t="shared" si="5"/>
        <v>-0.00609880832079078</v>
      </c>
      <c r="G30" s="2">
        <f t="shared" si="5"/>
        <v>-0.0253615594215041</v>
      </c>
      <c r="H30" s="2">
        <f t="shared" si="5"/>
        <v>-0.272727272727273</v>
      </c>
      <c r="I30" s="2">
        <f t="shared" si="5"/>
        <v>-0.0588235294117647</v>
      </c>
      <c r="J30" s="2">
        <f t="shared" si="5"/>
        <v>0.1</v>
      </c>
      <c r="K30" s="2">
        <f t="shared" si="5"/>
        <v>-0.0344827586206897</v>
      </c>
      <c r="L30" s="2">
        <f t="shared" si="5"/>
        <v>0.00529629458744708</v>
      </c>
      <c r="M30" s="2">
        <f t="shared" si="5"/>
        <v>0.0062168849773467</v>
      </c>
      <c r="N30" s="2">
        <f t="shared" si="5"/>
        <v>0</v>
      </c>
      <c r="O30" s="2">
        <f t="shared" si="5"/>
        <v>0</v>
      </c>
      <c r="P30" s="2">
        <f t="shared" si="5"/>
        <v>0</v>
      </c>
      <c r="Q30" s="2">
        <f t="shared" si="5"/>
        <v>-0.0571428571428571</v>
      </c>
      <c r="R30" s="2">
        <f t="shared" si="5"/>
        <v>0.000475103541586268</v>
      </c>
      <c r="S30" s="2">
        <f t="shared" si="5"/>
        <v>0</v>
      </c>
      <c r="T30" s="2">
        <f t="shared" si="5"/>
        <v>0</v>
      </c>
      <c r="U30" s="2">
        <f t="shared" si="5"/>
        <v>0</v>
      </c>
      <c r="V30" s="2">
        <f t="shared" si="5"/>
        <v>-0.125</v>
      </c>
      <c r="W30" s="2">
        <f t="shared" si="5"/>
        <v>-0.0666666666666667</v>
      </c>
      <c r="X30" s="2">
        <f t="shared" si="5"/>
        <v>0.0389718432751219</v>
      </c>
      <c r="Y30" s="2">
        <f t="shared" si="5"/>
        <v>0.0437913238696251</v>
      </c>
      <c r="Z30" s="2">
        <f t="shared" si="5"/>
        <v>-0.161290322580645</v>
      </c>
      <c r="AA30" s="2">
        <f t="shared" si="5"/>
        <v>0</v>
      </c>
      <c r="AB30" s="2">
        <f t="shared" si="5"/>
        <v>0.0298507462686567</v>
      </c>
      <c r="AC30" s="2">
        <f t="shared" si="5"/>
        <v>0.0198019801980198</v>
      </c>
      <c r="AD30" s="2">
        <f t="shared" si="5"/>
        <v>0.00654086809737743</v>
      </c>
      <c r="AE30" s="2">
        <f t="shared" si="5"/>
        <v>-0.0264319184750488</v>
      </c>
    </row>
    <row r="31" spans="1:31">
      <c r="A31" s="15"/>
      <c r="B31" s="2">
        <f>(B9-B24)/B24</f>
        <v>-0.133333333333333</v>
      </c>
      <c r="C31" s="2">
        <f t="shared" ref="C31:AE31" si="6">(C9-C24)/C24</f>
        <v>0.0357142857142857</v>
      </c>
      <c r="D31" s="2">
        <f t="shared" si="6"/>
        <v>0</v>
      </c>
      <c r="E31" s="2">
        <f t="shared" si="6"/>
        <v>-0.0188679245283019</v>
      </c>
      <c r="F31" s="2">
        <f t="shared" si="6"/>
        <v>-0.000584279674018624</v>
      </c>
      <c r="G31" s="2">
        <f t="shared" si="6"/>
        <v>0.0102703835673842</v>
      </c>
      <c r="H31" s="2">
        <f t="shared" si="6"/>
        <v>-0.272727272727273</v>
      </c>
      <c r="I31" s="2">
        <f t="shared" si="6"/>
        <v>-0.0588235294117647</v>
      </c>
      <c r="J31" s="2">
        <f t="shared" si="6"/>
        <v>0.1</v>
      </c>
      <c r="K31" s="2">
        <f t="shared" si="6"/>
        <v>0.103448275862069</v>
      </c>
      <c r="L31" s="2">
        <f t="shared" si="6"/>
        <v>0.0216984028521841</v>
      </c>
      <c r="M31" s="2">
        <f t="shared" si="6"/>
        <v>0.0370614080182063</v>
      </c>
      <c r="N31" s="2">
        <f t="shared" si="6"/>
        <v>0</v>
      </c>
      <c r="O31" s="2">
        <f t="shared" si="6"/>
        <v>-0.214285714285714</v>
      </c>
      <c r="P31" s="2">
        <f t="shared" si="6"/>
        <v>-0.157894736842105</v>
      </c>
      <c r="Q31" s="2">
        <f t="shared" si="6"/>
        <v>-0.0571428571428571</v>
      </c>
      <c r="R31" s="2">
        <f t="shared" si="6"/>
        <v>-0.050154408651017</v>
      </c>
      <c r="S31" s="2">
        <f t="shared" si="6"/>
        <v>0.129548762736535</v>
      </c>
      <c r="T31" s="2">
        <f t="shared" si="6"/>
        <v>0</v>
      </c>
      <c r="U31" s="2">
        <f t="shared" si="6"/>
        <v>0</v>
      </c>
      <c r="V31" s="2">
        <f t="shared" si="6"/>
        <v>-0.125</v>
      </c>
      <c r="W31" s="2">
        <f t="shared" si="6"/>
        <v>-0.133333333333333</v>
      </c>
      <c r="X31" s="2">
        <f t="shared" si="6"/>
        <v>0.0888280662870849</v>
      </c>
      <c r="Y31" s="2">
        <f t="shared" si="6"/>
        <v>0.121134549835047</v>
      </c>
      <c r="Z31" s="2">
        <f t="shared" si="6"/>
        <v>-0.129032258064516</v>
      </c>
      <c r="AA31" s="2">
        <f t="shared" si="6"/>
        <v>0.0408163265306122</v>
      </c>
      <c r="AB31" s="2">
        <f t="shared" si="6"/>
        <v>0.0447761194029851</v>
      </c>
      <c r="AC31" s="2">
        <f t="shared" si="6"/>
        <v>-0.0198019801980198</v>
      </c>
      <c r="AD31" s="2">
        <f t="shared" si="6"/>
        <v>0.0203668664104202</v>
      </c>
      <c r="AE31" s="2">
        <f t="shared" si="6"/>
        <v>0.0286156225831415</v>
      </c>
    </row>
    <row r="32" spans="1:31">
      <c r="A32" s="15"/>
      <c r="B32" s="2">
        <f>(B10-B24)/B24</f>
        <v>-0.0666666666666667</v>
      </c>
      <c r="C32" s="2">
        <f t="shared" ref="C32:AE32" si="7">(C10-C24)/C24</f>
        <v>-0.0714285714285714</v>
      </c>
      <c r="D32" s="2">
        <f t="shared" si="7"/>
        <v>-0.024390243902439</v>
      </c>
      <c r="E32" s="2">
        <f t="shared" si="7"/>
        <v>-0.0188679245283019</v>
      </c>
      <c r="F32" s="2">
        <f t="shared" si="7"/>
        <v>-0.0288490452187308</v>
      </c>
      <c r="G32" s="2">
        <f t="shared" si="7"/>
        <v>-0.0379375392999401</v>
      </c>
      <c r="H32" s="2">
        <f t="shared" si="7"/>
        <v>-0.0909090909090909</v>
      </c>
      <c r="I32" s="2">
        <f t="shared" si="7"/>
        <v>0.117647058823529</v>
      </c>
      <c r="J32" s="2">
        <f t="shared" si="7"/>
        <v>0.15</v>
      </c>
      <c r="K32" s="2">
        <f t="shared" si="7"/>
        <v>-0.0344827586206897</v>
      </c>
      <c r="L32" s="2">
        <f t="shared" si="7"/>
        <v>0.0197560104513247</v>
      </c>
      <c r="M32" s="2">
        <f t="shared" si="7"/>
        <v>0.0528263864613096</v>
      </c>
      <c r="N32" s="2">
        <f t="shared" si="7"/>
        <v>-0.2</v>
      </c>
      <c r="O32" s="2">
        <f t="shared" si="7"/>
        <v>0</v>
      </c>
      <c r="P32" s="2">
        <f t="shared" si="7"/>
        <v>0</v>
      </c>
      <c r="Q32" s="2">
        <f t="shared" si="7"/>
        <v>0</v>
      </c>
      <c r="R32" s="2">
        <f t="shared" si="7"/>
        <v>-0.000206566757211926</v>
      </c>
      <c r="S32" s="2">
        <f t="shared" si="7"/>
        <v>-0.00582241630276681</v>
      </c>
      <c r="T32" s="2">
        <f t="shared" si="7"/>
        <v>-0.6</v>
      </c>
      <c r="U32" s="2">
        <f t="shared" si="7"/>
        <v>-0.5</v>
      </c>
      <c r="V32" s="2">
        <f t="shared" si="7"/>
        <v>-0.625</v>
      </c>
      <c r="W32" s="2">
        <f t="shared" si="7"/>
        <v>-0.733333333333333</v>
      </c>
      <c r="X32" s="2">
        <f t="shared" si="7"/>
        <v>-0.753763995567274</v>
      </c>
      <c r="Y32" s="2">
        <f t="shared" si="7"/>
        <v>-0.753596802234055</v>
      </c>
      <c r="Z32" s="2">
        <f t="shared" si="7"/>
        <v>-0.129032258064516</v>
      </c>
      <c r="AA32" s="2">
        <f t="shared" si="7"/>
        <v>0.0204081632653061</v>
      </c>
      <c r="AB32" s="2">
        <f t="shared" si="7"/>
        <v>0</v>
      </c>
      <c r="AC32" s="2">
        <f t="shared" si="7"/>
        <v>0</v>
      </c>
      <c r="AD32" s="2">
        <f t="shared" si="7"/>
        <v>0.058699559586984</v>
      </c>
      <c r="AE32" s="2">
        <f t="shared" si="7"/>
        <v>0.117328601974432</v>
      </c>
    </row>
    <row r="33" spans="1:31">
      <c r="A33" s="15"/>
      <c r="B33" s="2">
        <f>(B11-B24)/B24</f>
        <v>-0.133333333333333</v>
      </c>
      <c r="C33" s="2">
        <f t="shared" ref="C33:AE33" si="8">(C11-C24)/C24</f>
        <v>0.0357142857142857</v>
      </c>
      <c r="D33" s="2">
        <f t="shared" si="8"/>
        <v>0</v>
      </c>
      <c r="E33" s="2">
        <f t="shared" si="8"/>
        <v>-0.0188679245283019</v>
      </c>
      <c r="F33" s="2">
        <f t="shared" si="8"/>
        <v>0.0117142013878832</v>
      </c>
      <c r="G33" s="2">
        <f t="shared" si="8"/>
        <v>0.0029343953049645</v>
      </c>
      <c r="H33" s="2">
        <f t="shared" si="8"/>
        <v>-0.0909090909090909</v>
      </c>
      <c r="I33" s="2">
        <f t="shared" si="8"/>
        <v>0.0588235294117647</v>
      </c>
      <c r="J33" s="2">
        <f t="shared" si="8"/>
        <v>0.2</v>
      </c>
      <c r="K33" s="2">
        <f t="shared" si="8"/>
        <v>-0.0689655172413793</v>
      </c>
      <c r="L33" s="2">
        <f t="shared" si="8"/>
        <v>0.0306129017007038</v>
      </c>
      <c r="M33" s="2">
        <f t="shared" si="8"/>
        <v>0.0562535556880729</v>
      </c>
      <c r="N33" s="2">
        <f t="shared" si="8"/>
        <v>-0.2</v>
      </c>
      <c r="O33" s="2">
        <f t="shared" si="8"/>
        <v>0</v>
      </c>
      <c r="P33" s="2">
        <f t="shared" si="8"/>
        <v>0</v>
      </c>
      <c r="Q33" s="2">
        <f t="shared" si="8"/>
        <v>-0.0571428571428571</v>
      </c>
      <c r="R33" s="2">
        <f t="shared" si="8"/>
        <v>-0.00576321252620967</v>
      </c>
      <c r="S33" s="2">
        <f t="shared" si="8"/>
        <v>0</v>
      </c>
      <c r="T33" s="2">
        <f t="shared" si="8"/>
        <v>-0.8</v>
      </c>
      <c r="U33" s="2">
        <f t="shared" si="8"/>
        <v>-0.833333333333333</v>
      </c>
      <c r="V33" s="2">
        <f t="shared" si="8"/>
        <v>-0.875</v>
      </c>
      <c r="W33" s="2">
        <f t="shared" si="8"/>
        <v>-0.933333333333333</v>
      </c>
      <c r="X33" s="2">
        <f t="shared" si="8"/>
        <v>-0.481734112881654</v>
      </c>
      <c r="Y33" s="2">
        <f t="shared" si="8"/>
        <v>-0.269688299954826</v>
      </c>
      <c r="Z33" s="2">
        <f t="shared" si="8"/>
        <v>-0.161290322580645</v>
      </c>
      <c r="AA33" s="2">
        <f t="shared" si="8"/>
        <v>0.0612244897959184</v>
      </c>
      <c r="AB33" s="2">
        <f t="shared" si="8"/>
        <v>0</v>
      </c>
      <c r="AC33" s="2">
        <f t="shared" si="8"/>
        <v>-0.0198019801980198</v>
      </c>
      <c r="AD33" s="2">
        <f t="shared" si="8"/>
        <v>0.047491963583084</v>
      </c>
      <c r="AE33" s="2">
        <f t="shared" si="8"/>
        <v>0.0936718074700882</v>
      </c>
    </row>
    <row r="34" spans="1:31">
      <c r="A34" s="15"/>
      <c r="B34" s="2">
        <f>(B12-B24)/B24</f>
        <v>-0.133333333333333</v>
      </c>
      <c r="C34" s="2">
        <f t="shared" ref="C34:AE34" si="9">(C12-C24)/C24</f>
        <v>0</v>
      </c>
      <c r="D34" s="2">
        <f t="shared" si="9"/>
        <v>-0.0731707317073171</v>
      </c>
      <c r="E34" s="2">
        <f t="shared" si="9"/>
        <v>0</v>
      </c>
      <c r="F34" s="2">
        <f t="shared" si="9"/>
        <v>-0.0138267660809529</v>
      </c>
      <c r="G34" s="2">
        <f t="shared" si="9"/>
        <v>-0.0064975896038583</v>
      </c>
      <c r="H34" s="2">
        <f t="shared" si="9"/>
        <v>-0.272727272727273</v>
      </c>
      <c r="I34" s="2">
        <f t="shared" si="9"/>
        <v>0</v>
      </c>
      <c r="J34" s="2">
        <f t="shared" si="9"/>
        <v>0.2</v>
      </c>
      <c r="K34" s="2">
        <f t="shared" si="9"/>
        <v>-0.0344827586206897</v>
      </c>
      <c r="L34" s="2">
        <f t="shared" si="9"/>
        <v>0.0359587529271172</v>
      </c>
      <c r="M34" s="2">
        <f t="shared" si="9"/>
        <v>0.0857272110382266</v>
      </c>
      <c r="N34" s="2">
        <f t="shared" si="9"/>
        <v>0</v>
      </c>
      <c r="O34" s="2">
        <f t="shared" si="9"/>
        <v>0</v>
      </c>
      <c r="P34" s="2">
        <f t="shared" si="9"/>
        <v>0</v>
      </c>
      <c r="Q34" s="2">
        <f t="shared" si="9"/>
        <v>-0.0571428571428571</v>
      </c>
      <c r="R34" s="2">
        <f t="shared" si="9"/>
        <v>-0.00399706675204776</v>
      </c>
      <c r="S34" s="2">
        <f t="shared" si="9"/>
        <v>0.0072780203784559</v>
      </c>
      <c r="T34" s="2">
        <f t="shared" si="9"/>
        <v>0</v>
      </c>
      <c r="U34" s="2">
        <f t="shared" si="9"/>
        <v>0</v>
      </c>
      <c r="V34" s="2">
        <f t="shared" si="9"/>
        <v>-0.125</v>
      </c>
      <c r="W34" s="2">
        <f t="shared" si="9"/>
        <v>-0.133333333333333</v>
      </c>
      <c r="X34" s="2">
        <f t="shared" si="9"/>
        <v>0.0104194530424033</v>
      </c>
      <c r="Y34" s="2">
        <f t="shared" si="9"/>
        <v>0.00135521758771275</v>
      </c>
      <c r="Z34" s="2">
        <f t="shared" si="9"/>
        <v>-0.129032258064516</v>
      </c>
      <c r="AA34" s="2">
        <f t="shared" si="9"/>
        <v>0</v>
      </c>
      <c r="AB34" s="2">
        <f t="shared" si="9"/>
        <v>0.0149253731343284</v>
      </c>
      <c r="AC34" s="2">
        <f t="shared" si="9"/>
        <v>0</v>
      </c>
      <c r="AD34" s="2">
        <f t="shared" si="9"/>
        <v>0.0543415620034047</v>
      </c>
      <c r="AE34" s="2">
        <f t="shared" si="9"/>
        <v>0.0195168554660836</v>
      </c>
    </row>
    <row r="35" spans="1:31">
      <c r="A35" s="15"/>
      <c r="B35" s="2">
        <f>(B13-B24)/B24</f>
        <v>-0.0666666666666667</v>
      </c>
      <c r="C35" s="2">
        <f t="shared" ref="C35:AE35" si="10">(C13-C24)/C24</f>
        <v>0.0357142857142857</v>
      </c>
      <c r="D35" s="2">
        <f t="shared" si="10"/>
        <v>0.024390243902439</v>
      </c>
      <c r="E35" s="2">
        <f t="shared" si="10"/>
        <v>0.0188679245283019</v>
      </c>
      <c r="F35" s="2">
        <f t="shared" si="10"/>
        <v>-0.0616673750529481</v>
      </c>
      <c r="G35" s="2">
        <f t="shared" si="10"/>
        <v>-0.10500943198491</v>
      </c>
      <c r="H35" s="2">
        <f t="shared" si="10"/>
        <v>-0.181818181818182</v>
      </c>
      <c r="I35" s="2">
        <f t="shared" si="10"/>
        <v>-0.0588235294117647</v>
      </c>
      <c r="J35" s="2">
        <f t="shared" si="10"/>
        <v>0.1</v>
      </c>
      <c r="K35" s="2">
        <f t="shared" si="10"/>
        <v>0.0689655172413793</v>
      </c>
      <c r="L35" s="2">
        <f t="shared" si="10"/>
        <v>0.00943171066669602</v>
      </c>
      <c r="M35" s="2">
        <f t="shared" si="10"/>
        <v>0.00553145113199507</v>
      </c>
      <c r="N35" s="2">
        <f t="shared" si="10"/>
        <v>0</v>
      </c>
      <c r="O35" s="2">
        <f t="shared" si="10"/>
        <v>0</v>
      </c>
      <c r="P35" s="2">
        <f t="shared" si="10"/>
        <v>0</v>
      </c>
      <c r="Q35" s="2">
        <f t="shared" si="10"/>
        <v>-0.0285714285714286</v>
      </c>
      <c r="R35" s="2">
        <f t="shared" si="10"/>
        <v>0.000320178473676953</v>
      </c>
      <c r="S35" s="2">
        <f t="shared" si="10"/>
        <v>0.010189228529841</v>
      </c>
      <c r="T35" s="2">
        <f t="shared" si="10"/>
        <v>0</v>
      </c>
      <c r="U35" s="2">
        <f t="shared" si="10"/>
        <v>0</v>
      </c>
      <c r="V35" s="2">
        <f t="shared" si="10"/>
        <v>-0.125</v>
      </c>
      <c r="W35" s="2">
        <f t="shared" si="10"/>
        <v>-0.2</v>
      </c>
      <c r="X35" s="2">
        <f t="shared" si="10"/>
        <v>-0.339322448953597</v>
      </c>
      <c r="Y35" s="2">
        <f t="shared" si="10"/>
        <v>-0.490766724617049</v>
      </c>
      <c r="Z35" s="2">
        <f t="shared" si="10"/>
        <v>-0.129032258064516</v>
      </c>
      <c r="AA35" s="2">
        <f t="shared" si="10"/>
        <v>-0.0408163265306122</v>
      </c>
      <c r="AB35" s="2">
        <f t="shared" si="10"/>
        <v>0.0149253731343284</v>
      </c>
      <c r="AC35" s="2">
        <f t="shared" si="10"/>
        <v>-0.0297029702970297</v>
      </c>
      <c r="AD35" s="2">
        <f t="shared" si="10"/>
        <v>0.0262933966616512</v>
      </c>
      <c r="AE35" s="2">
        <f t="shared" si="10"/>
        <v>0.0386242664119025</v>
      </c>
    </row>
    <row r="36" spans="1:31">
      <c r="A36" s="15"/>
      <c r="B36" s="2">
        <f>(B14-B24)/B24</f>
        <v>-0.133333333333333</v>
      </c>
      <c r="C36" s="2">
        <f t="shared" ref="C36:AE36" si="11">(C14-C24)/C24</f>
        <v>0</v>
      </c>
      <c r="D36" s="2">
        <f t="shared" si="11"/>
        <v>-0.024390243902439</v>
      </c>
      <c r="E36" s="2">
        <f t="shared" si="11"/>
        <v>0</v>
      </c>
      <c r="F36" s="2">
        <f t="shared" si="11"/>
        <v>-0.0163679072545539</v>
      </c>
      <c r="G36" s="2">
        <f t="shared" si="11"/>
        <v>-0.0295535527143162</v>
      </c>
      <c r="H36" s="2">
        <f t="shared" si="11"/>
        <v>-0.363636363636364</v>
      </c>
      <c r="I36" s="2">
        <f t="shared" si="11"/>
        <v>-0.0588235294117647</v>
      </c>
      <c r="J36" s="2">
        <f t="shared" si="11"/>
        <v>0.1</v>
      </c>
      <c r="K36" s="2">
        <f t="shared" si="11"/>
        <v>0.0344827586206897</v>
      </c>
      <c r="L36" s="2">
        <f t="shared" si="11"/>
        <v>0.0256373012251886</v>
      </c>
      <c r="M36" s="2">
        <f t="shared" si="11"/>
        <v>0.041174011090319</v>
      </c>
      <c r="N36" s="2">
        <f t="shared" si="11"/>
        <v>-0.2</v>
      </c>
      <c r="O36" s="2">
        <f t="shared" si="11"/>
        <v>0</v>
      </c>
      <c r="P36" s="2">
        <f t="shared" si="11"/>
        <v>0</v>
      </c>
      <c r="Q36" s="2">
        <f t="shared" si="11"/>
        <v>0</v>
      </c>
      <c r="R36" s="2">
        <f t="shared" si="11"/>
        <v>0.00979126429183685</v>
      </c>
      <c r="S36" s="2">
        <f t="shared" si="11"/>
        <v>0.010189228529841</v>
      </c>
      <c r="T36" s="2">
        <f t="shared" si="11"/>
        <v>-0.2</v>
      </c>
      <c r="U36" s="2">
        <f t="shared" si="11"/>
        <v>-0.166666666666667</v>
      </c>
      <c r="V36" s="2">
        <f t="shared" si="11"/>
        <v>-0.375</v>
      </c>
      <c r="W36" s="2">
        <f t="shared" si="11"/>
        <v>-0.0666666666666667</v>
      </c>
      <c r="X36" s="2">
        <f t="shared" si="11"/>
        <v>-0.536359018940987</v>
      </c>
      <c r="Y36" s="2">
        <f t="shared" si="11"/>
        <v>-0.738538829037247</v>
      </c>
      <c r="Z36" s="2">
        <f t="shared" si="11"/>
        <v>-0.193548387096774</v>
      </c>
      <c r="AA36" s="2">
        <f t="shared" si="11"/>
        <v>0.0816326530612245</v>
      </c>
      <c r="AB36" s="2">
        <f t="shared" si="11"/>
        <v>0.0149253731343284</v>
      </c>
      <c r="AC36" s="2">
        <f t="shared" si="11"/>
        <v>-0.0099009900990099</v>
      </c>
      <c r="AD36" s="2">
        <f t="shared" si="11"/>
        <v>0.0136849810592059</v>
      </c>
      <c r="AE36" s="2">
        <f t="shared" si="11"/>
        <v>0.0204267321777911</v>
      </c>
    </row>
    <row r="37" spans="1:31">
      <c r="A37" s="15"/>
      <c r="B37" s="2">
        <f>(B15-B24)/B24</f>
        <v>-0.133333333333333</v>
      </c>
      <c r="C37" s="2">
        <f t="shared" ref="C37:AE37" si="12">(C15-C24)/C24</f>
        <v>0</v>
      </c>
      <c r="D37" s="2">
        <f t="shared" si="12"/>
        <v>-0.024390243902439</v>
      </c>
      <c r="E37" s="2">
        <f t="shared" si="12"/>
        <v>-0.0188679245283019</v>
      </c>
      <c r="F37" s="2">
        <f t="shared" si="12"/>
        <v>-0.0192158397396716</v>
      </c>
      <c r="G37" s="2">
        <f t="shared" si="12"/>
        <v>-0.051561517501575</v>
      </c>
      <c r="H37" s="2">
        <f t="shared" si="12"/>
        <v>-0.181818181818182</v>
      </c>
      <c r="I37" s="2">
        <f t="shared" si="12"/>
        <v>0.0588235294117647</v>
      </c>
      <c r="J37" s="2">
        <f t="shared" si="12"/>
        <v>0.05</v>
      </c>
      <c r="K37" s="2">
        <f t="shared" si="12"/>
        <v>-0.0689655172413793</v>
      </c>
      <c r="L37" s="2">
        <f t="shared" si="12"/>
        <v>0.0209322686060971</v>
      </c>
      <c r="M37" s="2">
        <f t="shared" si="12"/>
        <v>0.048713783389197</v>
      </c>
      <c r="N37" s="2">
        <f t="shared" si="12"/>
        <v>-0.2</v>
      </c>
      <c r="O37" s="2">
        <f t="shared" si="12"/>
        <v>0</v>
      </c>
      <c r="P37" s="2">
        <f t="shared" si="12"/>
        <v>0</v>
      </c>
      <c r="Q37" s="2">
        <f t="shared" si="12"/>
        <v>-0.0285714285714286</v>
      </c>
      <c r="R37" s="2">
        <f t="shared" si="12"/>
        <v>-0.013147974096529</v>
      </c>
      <c r="S37" s="2">
        <f t="shared" si="12"/>
        <v>-0.00145560407569257</v>
      </c>
      <c r="T37" s="2">
        <f t="shared" si="12"/>
        <v>-0.8</v>
      </c>
      <c r="U37" s="2">
        <f t="shared" si="12"/>
        <v>-0.833333333333333</v>
      </c>
      <c r="V37" s="2">
        <f t="shared" si="12"/>
        <v>-0.875</v>
      </c>
      <c r="W37" s="2">
        <f t="shared" si="12"/>
        <v>-0.866666666666667</v>
      </c>
      <c r="X37" s="2">
        <f t="shared" si="12"/>
        <v>-0.923155737704918</v>
      </c>
      <c r="Y37" s="2">
        <f t="shared" si="12"/>
        <v>-0.941821467194152</v>
      </c>
      <c r="Z37" s="2">
        <f t="shared" si="12"/>
        <v>-0.161290322580645</v>
      </c>
      <c r="AA37" s="2">
        <f t="shared" si="12"/>
        <v>0.0408163265306122</v>
      </c>
      <c r="AB37" s="2">
        <f t="shared" si="12"/>
        <v>0.0597014925373134</v>
      </c>
      <c r="AC37" s="2">
        <f t="shared" si="12"/>
        <v>0</v>
      </c>
      <c r="AD37" s="2">
        <f t="shared" si="12"/>
        <v>0.0539783046425327</v>
      </c>
      <c r="AE37" s="2">
        <f t="shared" si="12"/>
        <v>0.0795687184386496</v>
      </c>
    </row>
    <row r="38" spans="1:31">
      <c r="A38" s="15"/>
      <c r="B38" s="2">
        <f>(B16-B24)/B24</f>
        <v>-0.133333333333333</v>
      </c>
      <c r="C38" s="2">
        <f t="shared" ref="C38:AE38" si="13">(C16-C24)/C24</f>
        <v>0.0357142857142857</v>
      </c>
      <c r="D38" s="2">
        <f t="shared" si="13"/>
        <v>-0.024390243902439</v>
      </c>
      <c r="E38" s="2">
        <f t="shared" si="13"/>
        <v>0.0377358490566038</v>
      </c>
      <c r="F38" s="2">
        <f t="shared" si="13"/>
        <v>-0.0107901993367843</v>
      </c>
      <c r="G38" s="2">
        <f t="shared" si="13"/>
        <v>-0.038985537623139</v>
      </c>
      <c r="H38" s="2">
        <f t="shared" si="13"/>
        <v>-0.181818181818182</v>
      </c>
      <c r="I38" s="2">
        <f t="shared" si="13"/>
        <v>-0.0588235294117647</v>
      </c>
      <c r="J38" s="2">
        <f t="shared" si="13"/>
        <v>0.05</v>
      </c>
      <c r="K38" s="2">
        <f t="shared" si="13"/>
        <v>0.103448275862069</v>
      </c>
      <c r="L38" s="2">
        <f t="shared" si="13"/>
        <v>0.0461093196670935</v>
      </c>
      <c r="M38" s="2">
        <f t="shared" si="13"/>
        <v>0.101492189481332</v>
      </c>
      <c r="N38" s="2">
        <f t="shared" si="13"/>
        <v>0</v>
      </c>
      <c r="O38" s="2">
        <f t="shared" si="13"/>
        <v>0</v>
      </c>
      <c r="P38" s="2">
        <f t="shared" si="13"/>
        <v>0</v>
      </c>
      <c r="Q38" s="2">
        <f t="shared" si="13"/>
        <v>-0.0571428571428571</v>
      </c>
      <c r="R38" s="2">
        <f t="shared" si="13"/>
        <v>-0.00202435422067519</v>
      </c>
      <c r="S38" s="2">
        <f t="shared" si="13"/>
        <v>0.00873362445414847</v>
      </c>
      <c r="T38" s="2">
        <f t="shared" si="13"/>
        <v>0</v>
      </c>
      <c r="U38" s="2">
        <f t="shared" si="13"/>
        <v>0</v>
      </c>
      <c r="V38" s="2">
        <f t="shared" si="13"/>
        <v>-0.25</v>
      </c>
      <c r="W38" s="2">
        <f t="shared" si="13"/>
        <v>-0.0666666666666667</v>
      </c>
      <c r="X38" s="2">
        <f t="shared" si="13"/>
        <v>0.0270779994140647</v>
      </c>
      <c r="Y38" s="2">
        <f t="shared" si="13"/>
        <v>-0.0267073688245204</v>
      </c>
      <c r="Z38" s="2">
        <f t="shared" si="13"/>
        <v>-0.193548387096774</v>
      </c>
      <c r="AA38" s="2">
        <f t="shared" si="13"/>
        <v>0.0204081632653061</v>
      </c>
      <c r="AB38" s="2">
        <f t="shared" si="13"/>
        <v>0.0298507462686567</v>
      </c>
      <c r="AC38" s="2">
        <f t="shared" si="13"/>
        <v>0</v>
      </c>
      <c r="AD38" s="2">
        <f t="shared" si="13"/>
        <v>0.0106551696379724</v>
      </c>
      <c r="AE38" s="2">
        <f t="shared" si="13"/>
        <v>-0.0268868568309002</v>
      </c>
    </row>
    <row r="39" spans="1:31">
      <c r="A39" s="15"/>
      <c r="B39" s="2">
        <f>(B17-B24)/B24</f>
        <v>0</v>
      </c>
      <c r="C39" s="2">
        <f t="shared" ref="C39:AE39" si="14">(C17-C24)/C24</f>
        <v>-0.0357142857142857</v>
      </c>
      <c r="D39" s="2">
        <f t="shared" si="14"/>
        <v>-0.0975609756097561</v>
      </c>
      <c r="E39" s="2">
        <f t="shared" si="14"/>
        <v>0</v>
      </c>
      <c r="F39" s="2">
        <f t="shared" si="14"/>
        <v>-0.0226560865783698</v>
      </c>
      <c r="G39" s="2">
        <f t="shared" si="14"/>
        <v>-0.051561517501575</v>
      </c>
      <c r="H39" s="2">
        <f t="shared" si="14"/>
        <v>-0.0909090909090909</v>
      </c>
      <c r="I39" s="2">
        <f t="shared" si="14"/>
        <v>-0.117647058823529</v>
      </c>
      <c r="J39" s="2">
        <f t="shared" si="14"/>
        <v>0.1</v>
      </c>
      <c r="K39" s="2">
        <f t="shared" si="14"/>
        <v>0</v>
      </c>
      <c r="L39" s="2">
        <f t="shared" si="14"/>
        <v>0.0225471314965471</v>
      </c>
      <c r="M39" s="2">
        <f t="shared" si="14"/>
        <v>0.0864126448835784</v>
      </c>
      <c r="N39" s="2">
        <f t="shared" si="14"/>
        <v>0</v>
      </c>
      <c r="O39" s="2">
        <f t="shared" si="14"/>
        <v>0</v>
      </c>
      <c r="P39" s="2">
        <f t="shared" si="14"/>
        <v>0</v>
      </c>
      <c r="Q39" s="2">
        <f t="shared" si="14"/>
        <v>-0.0285714285714286</v>
      </c>
      <c r="R39" s="2">
        <f t="shared" si="14"/>
        <v>-0.00127038555685287</v>
      </c>
      <c r="S39" s="2">
        <f t="shared" si="14"/>
        <v>0</v>
      </c>
      <c r="T39" s="2">
        <f t="shared" si="14"/>
        <v>-0.8</v>
      </c>
      <c r="U39" s="2">
        <f t="shared" si="14"/>
        <v>-0.833333333333333</v>
      </c>
      <c r="V39" s="2">
        <f t="shared" si="14"/>
        <v>-0.875</v>
      </c>
      <c r="W39" s="2">
        <f t="shared" si="14"/>
        <v>-0.933333333333333</v>
      </c>
      <c r="X39" s="2">
        <f t="shared" si="14"/>
        <v>-0.929783331422676</v>
      </c>
      <c r="Y39" s="2">
        <f t="shared" si="14"/>
        <v>-0.923341227361706</v>
      </c>
      <c r="Z39" s="2">
        <f t="shared" si="14"/>
        <v>-0.161290322580645</v>
      </c>
      <c r="AA39" s="2">
        <f t="shared" si="14"/>
        <v>0.0204081632653061</v>
      </c>
      <c r="AB39" s="2">
        <f t="shared" si="14"/>
        <v>0</v>
      </c>
      <c r="AC39" s="2">
        <f t="shared" si="14"/>
        <v>-0.0099009900990099</v>
      </c>
      <c r="AD39" s="2">
        <f t="shared" si="14"/>
        <v>0.0356394055112724</v>
      </c>
      <c r="AE39" s="2">
        <f t="shared" si="14"/>
        <v>0.0736545198125662</v>
      </c>
    </row>
    <row r="40" spans="1:31">
      <c r="A40" s="15"/>
      <c r="B40" s="2">
        <f>(B18-B24)/B24</f>
        <v>-0.0666666666666667</v>
      </c>
      <c r="C40" s="2">
        <f t="shared" ref="C40:AE40" si="15">(C18-C24)/C24</f>
        <v>0.107142857142857</v>
      </c>
      <c r="D40" s="2">
        <f t="shared" si="15"/>
        <v>0</v>
      </c>
      <c r="E40" s="2">
        <f t="shared" si="15"/>
        <v>-0.0188679245283019</v>
      </c>
      <c r="F40" s="2">
        <f t="shared" si="15"/>
        <v>-0.0277595676908679</v>
      </c>
      <c r="G40" s="2">
        <f t="shared" si="15"/>
        <v>-0.0400335359463435</v>
      </c>
      <c r="H40" s="2">
        <f t="shared" si="15"/>
        <v>-0.181818181818182</v>
      </c>
      <c r="I40" s="2">
        <f t="shared" si="15"/>
        <v>0</v>
      </c>
      <c r="J40" s="2">
        <f t="shared" si="15"/>
        <v>0.15</v>
      </c>
      <c r="K40" s="2">
        <f t="shared" si="15"/>
        <v>0.0344827586206897</v>
      </c>
      <c r="L40" s="2">
        <f t="shared" si="15"/>
        <v>0.0191721534979868</v>
      </c>
      <c r="M40" s="2">
        <f t="shared" si="15"/>
        <v>0.0562535556880729</v>
      </c>
      <c r="N40" s="2">
        <f t="shared" si="15"/>
        <v>-0.2</v>
      </c>
      <c r="O40" s="2">
        <f t="shared" si="15"/>
        <v>0</v>
      </c>
      <c r="P40" s="2">
        <f t="shared" si="15"/>
        <v>0</v>
      </c>
      <c r="Q40" s="2">
        <f t="shared" si="15"/>
        <v>0</v>
      </c>
      <c r="R40" s="2">
        <f t="shared" si="15"/>
        <v>-0.0115987234174403</v>
      </c>
      <c r="S40" s="2">
        <f t="shared" si="15"/>
        <v>0.00582241630276681</v>
      </c>
      <c r="T40" s="2">
        <f t="shared" si="15"/>
        <v>-0.2</v>
      </c>
      <c r="U40" s="2">
        <f t="shared" si="15"/>
        <v>-0.166666666666667</v>
      </c>
      <c r="V40" s="2">
        <f t="shared" si="15"/>
        <v>-0.25</v>
      </c>
      <c r="W40" s="2">
        <f t="shared" si="15"/>
        <v>-0.266666666666667</v>
      </c>
      <c r="X40" s="2">
        <f t="shared" si="15"/>
        <v>-0.0987825926350514</v>
      </c>
      <c r="Y40" s="2">
        <f t="shared" si="15"/>
        <v>-0.108841768079834</v>
      </c>
      <c r="Z40" s="2">
        <f t="shared" si="15"/>
        <v>-0.0645161290322581</v>
      </c>
      <c r="AA40" s="2">
        <f t="shared" si="15"/>
        <v>0.0612244897959184</v>
      </c>
      <c r="AB40" s="2">
        <f t="shared" si="15"/>
        <v>0.0298507462686567</v>
      </c>
      <c r="AC40" s="2">
        <f t="shared" si="15"/>
        <v>0.0099009900990099</v>
      </c>
      <c r="AD40" s="2">
        <f t="shared" si="15"/>
        <v>0.0308366065015493</v>
      </c>
      <c r="AE40" s="2">
        <f t="shared" si="15"/>
        <v>0.0745643965242691</v>
      </c>
    </row>
    <row r="41" spans="1:31">
      <c r="A41" s="15"/>
      <c r="B41" s="2">
        <f>(B19-B24)/B24</f>
        <v>-0.2</v>
      </c>
      <c r="C41" s="2">
        <f t="shared" ref="C41:AE41" si="16">(C19-C24)/C24</f>
        <v>0</v>
      </c>
      <c r="D41" s="2">
        <f t="shared" si="16"/>
        <v>-0.0487804878048781</v>
      </c>
      <c r="E41" s="2">
        <f t="shared" si="16"/>
        <v>0</v>
      </c>
      <c r="F41" s="2">
        <f t="shared" si="16"/>
        <v>-0.0171786731468978</v>
      </c>
      <c r="G41" s="2">
        <f t="shared" si="16"/>
        <v>-0.0630894990568011</v>
      </c>
      <c r="H41" s="2">
        <f t="shared" si="16"/>
        <v>-0.272727272727273</v>
      </c>
      <c r="I41" s="2">
        <f t="shared" si="16"/>
        <v>-0.117647058823529</v>
      </c>
      <c r="J41" s="2">
        <f t="shared" si="16"/>
        <v>0.1</v>
      </c>
      <c r="K41" s="2">
        <f t="shared" si="16"/>
        <v>0.0344827586206897</v>
      </c>
      <c r="L41" s="2">
        <f t="shared" si="16"/>
        <v>0.0340761702629402</v>
      </c>
      <c r="M41" s="2">
        <f t="shared" si="16"/>
        <v>0.0329488049460914</v>
      </c>
      <c r="N41" s="2">
        <f t="shared" si="16"/>
        <v>-0.2</v>
      </c>
      <c r="O41" s="2">
        <f t="shared" si="16"/>
        <v>0</v>
      </c>
      <c r="P41" s="2">
        <f t="shared" si="16"/>
        <v>0</v>
      </c>
      <c r="Q41" s="2">
        <f t="shared" si="16"/>
        <v>-0.0285714285714286</v>
      </c>
      <c r="R41" s="2">
        <f t="shared" si="16"/>
        <v>0.00368721661622892</v>
      </c>
      <c r="S41" s="2">
        <f t="shared" si="16"/>
        <v>0.0116448326055301</v>
      </c>
      <c r="T41" s="2">
        <f t="shared" si="16"/>
        <v>0</v>
      </c>
      <c r="U41" s="2">
        <f t="shared" si="16"/>
        <v>0</v>
      </c>
      <c r="V41" s="2">
        <f t="shared" si="16"/>
        <v>-0.125</v>
      </c>
      <c r="W41" s="2">
        <f t="shared" si="16"/>
        <v>-0.133333333333333</v>
      </c>
      <c r="X41" s="2">
        <f t="shared" si="16"/>
        <v>-0.00491357458570515</v>
      </c>
      <c r="Y41" s="2">
        <f t="shared" si="16"/>
        <v>-0.00275150237505332</v>
      </c>
      <c r="Z41" s="2">
        <f t="shared" si="16"/>
        <v>-0.258064516129032</v>
      </c>
      <c r="AA41" s="2">
        <f t="shared" si="16"/>
        <v>0.0204081632653061</v>
      </c>
      <c r="AB41" s="2">
        <f t="shared" si="16"/>
        <v>0.0149253731343284</v>
      </c>
      <c r="AC41" s="2">
        <f t="shared" si="16"/>
        <v>0.0297029702970297</v>
      </c>
      <c r="AD41" s="2">
        <f t="shared" si="16"/>
        <v>-0.0481352500233026</v>
      </c>
      <c r="AE41" s="2">
        <f t="shared" si="16"/>
        <v>-0.0892134115827285</v>
      </c>
    </row>
    <row r="42" spans="1:31">
      <c r="A42" s="15"/>
      <c r="B42" s="2">
        <f>(B20-B24)/B24</f>
        <v>0</v>
      </c>
      <c r="C42" s="2">
        <f t="shared" ref="C42:AE42" si="17">(C20-C24)/C24</f>
        <v>0</v>
      </c>
      <c r="D42" s="2">
        <f t="shared" si="17"/>
        <v>0</v>
      </c>
      <c r="E42" s="2">
        <f t="shared" si="17"/>
        <v>-0.0377358490566038</v>
      </c>
      <c r="F42" s="2">
        <f t="shared" si="17"/>
        <v>-0.029960764074116</v>
      </c>
      <c r="G42" s="2">
        <f t="shared" si="17"/>
        <v>-0.0421295325927466</v>
      </c>
      <c r="H42" s="2">
        <f t="shared" si="17"/>
        <v>-0.0909090909090909</v>
      </c>
      <c r="I42" s="2">
        <f t="shared" si="17"/>
        <v>-0.0588235294117647</v>
      </c>
      <c r="J42" s="2">
        <f t="shared" si="17"/>
        <v>0.15</v>
      </c>
      <c r="K42" s="2">
        <f t="shared" si="17"/>
        <v>-0.0344827586206897</v>
      </c>
      <c r="L42" s="2">
        <f t="shared" si="17"/>
        <v>0.0359017912731332</v>
      </c>
      <c r="M42" s="2">
        <f t="shared" si="17"/>
        <v>0.0617370264508912</v>
      </c>
      <c r="N42" s="2">
        <f t="shared" si="17"/>
        <v>-0.2</v>
      </c>
      <c r="O42" s="2">
        <f t="shared" si="17"/>
        <v>0</v>
      </c>
      <c r="P42" s="2">
        <f t="shared" si="17"/>
        <v>0</v>
      </c>
      <c r="Q42" s="2">
        <f t="shared" si="17"/>
        <v>0</v>
      </c>
      <c r="R42" s="2">
        <f t="shared" si="17"/>
        <v>-0.0111442765515753</v>
      </c>
      <c r="S42" s="2">
        <f t="shared" si="17"/>
        <v>0</v>
      </c>
      <c r="T42" s="2">
        <f t="shared" si="17"/>
        <v>0</v>
      </c>
      <c r="U42" s="2">
        <f t="shared" si="17"/>
        <v>0</v>
      </c>
      <c r="V42" s="2">
        <f t="shared" si="17"/>
        <v>-0.125</v>
      </c>
      <c r="W42" s="2">
        <f t="shared" si="17"/>
        <v>-0.0666666666666667</v>
      </c>
      <c r="X42" s="2">
        <f t="shared" si="17"/>
        <v>0.104435750952144</v>
      </c>
      <c r="Y42" s="2">
        <f t="shared" si="17"/>
        <v>0.0793828968802621</v>
      </c>
      <c r="Z42" s="2">
        <f t="shared" si="17"/>
        <v>-0.225806451612903</v>
      </c>
      <c r="AA42" s="2">
        <f t="shared" si="17"/>
        <v>0.0204081632653061</v>
      </c>
      <c r="AB42" s="2">
        <f t="shared" si="17"/>
        <v>0.0447761194029851</v>
      </c>
      <c r="AC42" s="2">
        <f t="shared" si="17"/>
        <v>-0.0099009900990099</v>
      </c>
      <c r="AD42" s="2">
        <f t="shared" si="17"/>
        <v>-0.0101354536545798</v>
      </c>
      <c r="AE42" s="2">
        <f t="shared" si="17"/>
        <v>-0.0632819252991229</v>
      </c>
    </row>
    <row r="43" spans="1:31">
      <c r="A43" s="15"/>
      <c r="B43" s="2">
        <f>(B21-B24)/B24</f>
        <v>-0.2</v>
      </c>
      <c r="C43" s="2">
        <f t="shared" ref="C43:AE43" si="18">(C21-C24)/C24</f>
        <v>0.0357142857142857</v>
      </c>
      <c r="D43" s="2">
        <f t="shared" si="18"/>
        <v>-0.024390243902439</v>
      </c>
      <c r="E43" s="2">
        <f t="shared" si="18"/>
        <v>0</v>
      </c>
      <c r="F43" s="2">
        <f t="shared" si="18"/>
        <v>-0.062977111227433</v>
      </c>
      <c r="G43" s="2">
        <f t="shared" si="18"/>
        <v>-0.0924334521064796</v>
      </c>
      <c r="H43" s="2">
        <f t="shared" si="18"/>
        <v>-0.181818181818182</v>
      </c>
      <c r="I43" s="2">
        <f t="shared" si="18"/>
        <v>-0.117647058823529</v>
      </c>
      <c r="J43" s="2">
        <f t="shared" si="18"/>
        <v>0.05</v>
      </c>
      <c r="K43" s="2">
        <f t="shared" si="18"/>
        <v>-0.103448275862069</v>
      </c>
      <c r="L43" s="2">
        <f t="shared" si="18"/>
        <v>0.0571086150514329</v>
      </c>
      <c r="M43" s="2">
        <f t="shared" si="18"/>
        <v>0.0754457033579393</v>
      </c>
      <c r="N43" s="2">
        <f t="shared" si="18"/>
        <v>-0.2</v>
      </c>
      <c r="O43" s="2">
        <f t="shared" si="18"/>
        <v>0</v>
      </c>
      <c r="P43" s="2">
        <f t="shared" si="18"/>
        <v>0</v>
      </c>
      <c r="Q43" s="2">
        <f t="shared" si="18"/>
        <v>0</v>
      </c>
      <c r="R43" s="2">
        <f t="shared" si="18"/>
        <v>-0.00253044277584425</v>
      </c>
      <c r="S43" s="2">
        <f t="shared" si="18"/>
        <v>-0.00873362445414847</v>
      </c>
      <c r="T43" s="2">
        <f t="shared" si="18"/>
        <v>0</v>
      </c>
      <c r="U43" s="2">
        <f t="shared" si="18"/>
        <v>0</v>
      </c>
      <c r="V43" s="2">
        <f t="shared" si="18"/>
        <v>-0.25</v>
      </c>
      <c r="W43" s="2">
        <f t="shared" si="18"/>
        <v>-0.266666666666667</v>
      </c>
      <c r="X43" s="2">
        <f t="shared" si="18"/>
        <v>0.0312933878507651</v>
      </c>
      <c r="Y43" s="2">
        <f t="shared" si="18"/>
        <v>0.0314711639813282</v>
      </c>
      <c r="Z43" s="2">
        <f t="shared" si="18"/>
        <v>-0.258064516129032</v>
      </c>
      <c r="AA43" s="2">
        <f t="shared" si="18"/>
        <v>0.102040816326531</v>
      </c>
      <c r="AB43" s="2">
        <f t="shared" si="18"/>
        <v>0.0298507462686567</v>
      </c>
      <c r="AC43" s="2">
        <f t="shared" si="18"/>
        <v>0.0198019801980198</v>
      </c>
      <c r="AD43" s="2">
        <f t="shared" si="18"/>
        <v>-0.011545647664337</v>
      </c>
      <c r="AE43" s="2">
        <f t="shared" si="18"/>
        <v>-0.0418998225740419</v>
      </c>
    </row>
    <row r="44" spans="1:31">
      <c r="A44" s="15"/>
      <c r="B44" s="2">
        <f>(B22-B24)/B24</f>
        <v>-0.2</v>
      </c>
      <c r="C44" s="2">
        <f t="shared" ref="C44:AE44" si="19">(C22-C24)/C24</f>
        <v>0.0357142857142857</v>
      </c>
      <c r="D44" s="2">
        <f t="shared" si="19"/>
        <v>-0.0487804878048781</v>
      </c>
      <c r="E44" s="2">
        <f t="shared" si="19"/>
        <v>0.0377358490566038</v>
      </c>
      <c r="F44" s="2">
        <f t="shared" si="19"/>
        <v>-0.0259670557008475</v>
      </c>
      <c r="G44" s="2">
        <f t="shared" si="19"/>
        <v>-0.0568015091175859</v>
      </c>
      <c r="H44" s="2">
        <f t="shared" si="19"/>
        <v>0</v>
      </c>
      <c r="I44" s="2">
        <f t="shared" si="19"/>
        <v>0</v>
      </c>
      <c r="J44" s="2">
        <f t="shared" si="19"/>
        <v>0.2</v>
      </c>
      <c r="K44" s="2">
        <f t="shared" si="19"/>
        <v>-0.0344827586206897</v>
      </c>
      <c r="L44" s="2">
        <f t="shared" si="19"/>
        <v>0.0212541019511081</v>
      </c>
      <c r="M44" s="2">
        <f t="shared" si="19"/>
        <v>0.0685913649044153</v>
      </c>
      <c r="N44" s="2">
        <f t="shared" si="19"/>
        <v>-0.2</v>
      </c>
      <c r="O44" s="2">
        <f t="shared" si="19"/>
        <v>0</v>
      </c>
      <c r="P44" s="2">
        <f t="shared" si="19"/>
        <v>0</v>
      </c>
      <c r="Q44" s="2">
        <f t="shared" si="19"/>
        <v>-0.0571428571428571</v>
      </c>
      <c r="R44" s="2">
        <f t="shared" si="19"/>
        <v>-0.00672374794724392</v>
      </c>
      <c r="S44" s="2">
        <f t="shared" si="19"/>
        <v>0.00873362445414847</v>
      </c>
      <c r="T44" s="2">
        <f t="shared" si="19"/>
        <v>0</v>
      </c>
      <c r="U44" s="2">
        <f t="shared" si="19"/>
        <v>0</v>
      </c>
      <c r="V44" s="2">
        <f t="shared" si="19"/>
        <v>0</v>
      </c>
      <c r="W44" s="2">
        <f t="shared" si="19"/>
        <v>0</v>
      </c>
      <c r="X44" s="2">
        <f t="shared" si="19"/>
        <v>0.0108811953074254</v>
      </c>
      <c r="Y44" s="2">
        <f t="shared" si="19"/>
        <v>-0.00275150237505332</v>
      </c>
      <c r="Z44" s="2">
        <f t="shared" si="19"/>
        <v>-0.225806451612903</v>
      </c>
      <c r="AA44" s="2">
        <f t="shared" si="19"/>
        <v>0.0204081632653061</v>
      </c>
      <c r="AB44" s="2">
        <f t="shared" si="19"/>
        <v>-0.0149253731343284</v>
      </c>
      <c r="AC44" s="2">
        <f t="shared" si="19"/>
        <v>0</v>
      </c>
      <c r="AD44" s="2">
        <f t="shared" si="19"/>
        <v>0.113356529517288</v>
      </c>
      <c r="AE44" s="2">
        <f t="shared" si="19"/>
        <v>0.0959464992493503</v>
      </c>
    </row>
    <row r="45" spans="1:31">
      <c r="A45" s="15"/>
      <c r="B45" s="2">
        <f>(B23-B24)/B24</f>
        <v>-0.133333333333333</v>
      </c>
      <c r="C45" s="2">
        <f t="shared" ref="C45:AE45" si="20">(C23-C24)/C24</f>
        <v>0</v>
      </c>
      <c r="D45" s="2">
        <f t="shared" si="20"/>
        <v>0</v>
      </c>
      <c r="E45" s="2">
        <f t="shared" si="20"/>
        <v>0</v>
      </c>
      <c r="F45" s="2">
        <f t="shared" si="20"/>
        <v>-0.0877224647082968</v>
      </c>
      <c r="G45" s="2">
        <f t="shared" si="20"/>
        <v>-0.145881366589815</v>
      </c>
      <c r="H45" s="2">
        <f t="shared" si="20"/>
        <v>-0.181818181818182</v>
      </c>
      <c r="I45" s="2">
        <f t="shared" si="20"/>
        <v>0</v>
      </c>
      <c r="J45" s="2">
        <f t="shared" si="20"/>
        <v>0.15</v>
      </c>
      <c r="K45" s="2">
        <f t="shared" si="20"/>
        <v>0</v>
      </c>
      <c r="L45" s="2">
        <f t="shared" si="20"/>
        <v>0.0195965178201676</v>
      </c>
      <c r="M45" s="2">
        <f t="shared" si="20"/>
        <v>-0.000637453476179578</v>
      </c>
      <c r="N45" s="2">
        <f t="shared" si="20"/>
        <v>-0.2</v>
      </c>
      <c r="O45" s="2">
        <f t="shared" si="20"/>
        <v>0</v>
      </c>
      <c r="P45" s="2">
        <f t="shared" si="20"/>
        <v>0</v>
      </c>
      <c r="Q45" s="2">
        <f t="shared" si="20"/>
        <v>-0.0285714285714286</v>
      </c>
      <c r="R45" s="2">
        <f t="shared" si="20"/>
        <v>-0.00623831606779615</v>
      </c>
      <c r="S45" s="2">
        <f t="shared" si="20"/>
        <v>0</v>
      </c>
      <c r="T45" s="2">
        <f t="shared" si="20"/>
        <v>0</v>
      </c>
      <c r="U45" s="2">
        <f t="shared" si="20"/>
        <v>0</v>
      </c>
      <c r="V45" s="2">
        <f t="shared" si="20"/>
        <v>-0.125</v>
      </c>
      <c r="W45" s="2">
        <f t="shared" si="20"/>
        <v>-0.133333333333333</v>
      </c>
      <c r="X45" s="2">
        <f t="shared" si="20"/>
        <v>0.00378787878787938</v>
      </c>
      <c r="Y45" s="2">
        <f t="shared" si="20"/>
        <v>0.0198354574201582</v>
      </c>
      <c r="Z45" s="2">
        <f t="shared" si="20"/>
        <v>-0.193548387096774</v>
      </c>
      <c r="AA45" s="2">
        <f t="shared" si="20"/>
        <v>0.102040816326531</v>
      </c>
      <c r="AB45" s="2">
        <f t="shared" si="20"/>
        <v>0.0298507462686567</v>
      </c>
      <c r="AC45" s="2">
        <f t="shared" si="20"/>
        <v>0</v>
      </c>
      <c r="AD45" s="2">
        <f t="shared" si="20"/>
        <v>0.0275925835574308</v>
      </c>
      <c r="AE45" s="2">
        <f t="shared" si="20"/>
        <v>0.138710704699513</v>
      </c>
    </row>
    <row r="52" spans="1:15">
      <c r="A52" s="16" t="s">
        <v>3</v>
      </c>
      <c r="B52" s="17">
        <v>-0.0666666666666667</v>
      </c>
      <c r="C52" s="17">
        <v>-0.181818181818182</v>
      </c>
      <c r="D52" s="17">
        <v>-0.2</v>
      </c>
      <c r="E52" s="17">
        <v>0</v>
      </c>
      <c r="F52" s="17">
        <v>0</v>
      </c>
      <c r="G52" s="17">
        <f>AVERAGE(B52:F52)</f>
        <v>-0.0896969696969697</v>
      </c>
      <c r="H52"/>
      <c r="I52"/>
      <c r="J52"/>
      <c r="K52"/>
      <c r="L52"/>
      <c r="M52"/>
      <c r="N52"/>
      <c r="O52"/>
    </row>
    <row r="53" spans="1:15">
      <c r="A53" s="16"/>
      <c r="B53" s="17">
        <v>-0.2</v>
      </c>
      <c r="C53" s="17">
        <v>-0.363636363636364</v>
      </c>
      <c r="D53" s="17">
        <v>0</v>
      </c>
      <c r="E53" s="17">
        <v>-0.2</v>
      </c>
      <c r="F53" s="17">
        <v>-0.193548387096774</v>
      </c>
      <c r="G53" s="17">
        <f t="shared" ref="G53:H73" si="21">AVERAGE(B53:F53)</f>
        <v>-0.191436950146628</v>
      </c>
      <c r="H53"/>
      <c r="I53"/>
      <c r="J53"/>
      <c r="K53"/>
      <c r="L53"/>
      <c r="M53"/>
      <c r="N53"/>
      <c r="O53"/>
    </row>
    <row r="54" spans="1:15">
      <c r="A54" s="16"/>
      <c r="B54" s="17">
        <v>-0.266666666666667</v>
      </c>
      <c r="C54" s="17">
        <v>-0.181818181818182</v>
      </c>
      <c r="D54" s="17">
        <v>-0.2</v>
      </c>
      <c r="E54" s="17">
        <v>0</v>
      </c>
      <c r="F54" s="17">
        <v>-0.193548387096774</v>
      </c>
      <c r="G54" s="17">
        <f t="shared" si="21"/>
        <v>-0.168406647116325</v>
      </c>
      <c r="H54"/>
      <c r="I54"/>
      <c r="J54"/>
      <c r="K54"/>
      <c r="L54"/>
      <c r="M54"/>
      <c r="N54"/>
      <c r="O54"/>
    </row>
    <row r="55" spans="1:15">
      <c r="A55" s="16"/>
      <c r="B55" s="17">
        <v>-0.133333333333333</v>
      </c>
      <c r="C55" s="17">
        <v>-0.272727272727273</v>
      </c>
      <c r="D55" s="17">
        <v>-0.2</v>
      </c>
      <c r="E55" s="17">
        <v>0</v>
      </c>
      <c r="F55" s="17">
        <v>-0.0967741935483871</v>
      </c>
      <c r="G55" s="17">
        <f t="shared" si="21"/>
        <v>-0.140566959921799</v>
      </c>
      <c r="H55"/>
      <c r="I55"/>
      <c r="J55"/>
      <c r="K55"/>
      <c r="L55"/>
      <c r="M55"/>
      <c r="N55"/>
      <c r="O55"/>
    </row>
    <row r="56" spans="1:15">
      <c r="A56" s="16"/>
      <c r="B56" s="17">
        <v>-0.2</v>
      </c>
      <c r="C56" s="17">
        <v>-0.181818181818182</v>
      </c>
      <c r="D56" s="17">
        <v>0</v>
      </c>
      <c r="E56" s="17">
        <v>0</v>
      </c>
      <c r="F56" s="17">
        <v>-0.225806451612903</v>
      </c>
      <c r="G56" s="17">
        <f t="shared" si="21"/>
        <v>-0.121524926686217</v>
      </c>
      <c r="H56"/>
      <c r="I56"/>
      <c r="J56"/>
      <c r="K56"/>
      <c r="L56"/>
      <c r="M56"/>
      <c r="N56"/>
      <c r="O56"/>
    </row>
    <row r="57" spans="1:15">
      <c r="A57" s="16"/>
      <c r="B57" s="17">
        <v>-0.133333333333333</v>
      </c>
      <c r="C57" s="17">
        <v>-0.272727272727273</v>
      </c>
      <c r="D57" s="17">
        <v>0</v>
      </c>
      <c r="E57" s="17">
        <v>0</v>
      </c>
      <c r="F57" s="17">
        <v>-0.161290322580645</v>
      </c>
      <c r="G57" s="17">
        <f t="shared" si="21"/>
        <v>-0.11347018572825</v>
      </c>
      <c r="H57"/>
      <c r="I57"/>
      <c r="J57"/>
      <c r="K57"/>
      <c r="L57"/>
      <c r="M57"/>
      <c r="N57"/>
      <c r="O57"/>
    </row>
    <row r="58" spans="1:22">
      <c r="A58" s="16"/>
      <c r="B58" s="17">
        <v>-0.133333333333333</v>
      </c>
      <c r="C58" s="17">
        <v>-0.272727272727273</v>
      </c>
      <c r="D58" s="17">
        <v>0</v>
      </c>
      <c r="E58" s="17">
        <v>0</v>
      </c>
      <c r="F58" s="17">
        <v>-0.129032258064516</v>
      </c>
      <c r="G58" s="17">
        <f t="shared" si="21"/>
        <v>-0.107018572825024</v>
      </c>
      <c r="H58"/>
      <c r="I58"/>
      <c r="J58"/>
      <c r="K5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</row>
    <row r="59" spans="1:15">
      <c r="A59" s="16"/>
      <c r="B59" s="17">
        <v>-0.0666666666666667</v>
      </c>
      <c r="C59" s="17">
        <v>-0.0909090909090909</v>
      </c>
      <c r="D59" s="17">
        <v>-0.2</v>
      </c>
      <c r="E59" s="17">
        <v>-0.6</v>
      </c>
      <c r="F59" s="17">
        <v>-0.129032258064516</v>
      </c>
      <c r="G59" s="17">
        <f t="shared" si="21"/>
        <v>-0.217321603128055</v>
      </c>
      <c r="H59"/>
      <c r="I59"/>
      <c r="J59"/>
      <c r="K59"/>
      <c r="L59"/>
      <c r="M59"/>
      <c r="N59"/>
      <c r="O59"/>
    </row>
    <row r="60" spans="1:15">
      <c r="A60" s="16"/>
      <c r="B60" s="17">
        <v>-0.133333333333333</v>
      </c>
      <c r="C60" s="17">
        <v>-0.0909090909090909</v>
      </c>
      <c r="D60" s="17">
        <v>-0.2</v>
      </c>
      <c r="E60" s="17">
        <v>-0.8</v>
      </c>
      <c r="F60" s="17">
        <v>-0.161290322580645</v>
      </c>
      <c r="G60" s="17">
        <f t="shared" si="21"/>
        <v>-0.277106549364614</v>
      </c>
      <c r="H60"/>
      <c r="I60"/>
      <c r="J60"/>
      <c r="K60"/>
      <c r="L60"/>
      <c r="M60"/>
      <c r="N60"/>
      <c r="O60"/>
    </row>
    <row r="61" spans="1:15">
      <c r="A61" s="16"/>
      <c r="B61" s="17">
        <v>-0.133333333333333</v>
      </c>
      <c r="C61" s="17">
        <v>-0.272727272727273</v>
      </c>
      <c r="D61" s="17">
        <v>0</v>
      </c>
      <c r="E61" s="17">
        <v>0</v>
      </c>
      <c r="F61" s="17">
        <v>-0.129032258064516</v>
      </c>
      <c r="G61" s="17">
        <f t="shared" si="21"/>
        <v>-0.107018572825024</v>
      </c>
      <c r="H61"/>
      <c r="I61"/>
      <c r="J61"/>
      <c r="K61"/>
      <c r="L61"/>
      <c r="M61"/>
      <c r="N61"/>
      <c r="O61"/>
    </row>
    <row r="62" spans="1:15">
      <c r="A62" s="16"/>
      <c r="B62" s="17">
        <v>-0.0666666666666667</v>
      </c>
      <c r="C62" s="17">
        <v>-0.181818181818182</v>
      </c>
      <c r="D62" s="17">
        <v>0</v>
      </c>
      <c r="E62" s="17">
        <v>0</v>
      </c>
      <c r="F62" s="17">
        <v>-0.129032258064516</v>
      </c>
      <c r="G62" s="17">
        <f t="shared" si="21"/>
        <v>-0.0755034213098729</v>
      </c>
      <c r="H62"/>
      <c r="I62"/>
      <c r="J62"/>
      <c r="K62"/>
      <c r="L62"/>
      <c r="M62"/>
      <c r="N62"/>
      <c r="O62"/>
    </row>
    <row r="63" spans="1:15">
      <c r="A63" s="16"/>
      <c r="B63" s="17">
        <v>-0.133333333333333</v>
      </c>
      <c r="C63" s="17">
        <v>-0.363636363636364</v>
      </c>
      <c r="D63" s="17">
        <v>-0.2</v>
      </c>
      <c r="E63" s="17">
        <v>-0.2</v>
      </c>
      <c r="F63" s="17">
        <v>-0.193548387096774</v>
      </c>
      <c r="G63" s="17">
        <f t="shared" si="21"/>
        <v>-0.218103616813294</v>
      </c>
      <c r="H63"/>
      <c r="I63"/>
      <c r="J63"/>
      <c r="K63"/>
      <c r="L63"/>
      <c r="M63"/>
      <c r="N63"/>
      <c r="O63"/>
    </row>
    <row r="64" spans="1:15">
      <c r="A64" s="16"/>
      <c r="B64" s="17">
        <v>-0.133333333333333</v>
      </c>
      <c r="C64" s="17">
        <v>-0.181818181818182</v>
      </c>
      <c r="D64" s="17">
        <v>-0.2</v>
      </c>
      <c r="E64" s="17">
        <v>-0.8</v>
      </c>
      <c r="F64" s="17">
        <v>-0.161290322580645</v>
      </c>
      <c r="G64" s="17">
        <f t="shared" si="21"/>
        <v>-0.295288367546432</v>
      </c>
      <c r="H64"/>
      <c r="I64"/>
      <c r="J64"/>
      <c r="K64"/>
      <c r="L64"/>
      <c r="M64"/>
      <c r="N64"/>
      <c r="O64"/>
    </row>
    <row r="65" spans="1:15">
      <c r="A65" s="16"/>
      <c r="B65" s="17">
        <v>-0.133333333333333</v>
      </c>
      <c r="C65" s="17">
        <v>-0.181818181818182</v>
      </c>
      <c r="D65" s="17">
        <v>0</v>
      </c>
      <c r="E65" s="17">
        <v>0</v>
      </c>
      <c r="F65" s="17">
        <v>-0.193548387096774</v>
      </c>
      <c r="G65" s="17">
        <f t="shared" si="21"/>
        <v>-0.101739980449658</v>
      </c>
      <c r="H65"/>
      <c r="I65"/>
      <c r="J65"/>
      <c r="K65"/>
      <c r="L65"/>
      <c r="M65"/>
      <c r="N65"/>
      <c r="O65"/>
    </row>
    <row r="66" spans="1:15">
      <c r="A66" s="16"/>
      <c r="B66" s="17">
        <v>0</v>
      </c>
      <c r="C66" s="17">
        <v>-0.0909090909090909</v>
      </c>
      <c r="D66" s="17">
        <v>0</v>
      </c>
      <c r="E66" s="17">
        <v>-0.8</v>
      </c>
      <c r="F66" s="17">
        <v>-0.161290322580645</v>
      </c>
      <c r="G66" s="17">
        <f t="shared" si="21"/>
        <v>-0.210439882697947</v>
      </c>
      <c r="H66"/>
      <c r="I66"/>
      <c r="J66"/>
      <c r="K66"/>
      <c r="L66"/>
      <c r="M66"/>
      <c r="N66"/>
      <c r="O66"/>
    </row>
    <row r="67" spans="1:15">
      <c r="A67" s="16"/>
      <c r="B67" s="17">
        <v>-0.0666666666666667</v>
      </c>
      <c r="C67" s="17">
        <v>-0.181818181818182</v>
      </c>
      <c r="D67" s="17">
        <v>-0.2</v>
      </c>
      <c r="E67" s="17">
        <v>-0.2</v>
      </c>
      <c r="F67" s="17">
        <v>-0.0645161290322581</v>
      </c>
      <c r="G67" s="17">
        <f t="shared" si="21"/>
        <v>-0.142600195503421</v>
      </c>
      <c r="H67"/>
      <c r="I67"/>
      <c r="J67"/>
      <c r="K67"/>
      <c r="L67"/>
      <c r="M67"/>
      <c r="N67"/>
      <c r="O67"/>
    </row>
    <row r="68" spans="1:15">
      <c r="A68" s="16"/>
      <c r="B68" s="17">
        <v>-0.2</v>
      </c>
      <c r="C68" s="17">
        <v>-0.272727272727273</v>
      </c>
      <c r="D68" s="17">
        <v>-0.2</v>
      </c>
      <c r="E68" s="17">
        <v>0</v>
      </c>
      <c r="F68" s="17">
        <v>-0.258064516129032</v>
      </c>
      <c r="G68" s="17">
        <f t="shared" si="21"/>
        <v>-0.186158357771261</v>
      </c>
      <c r="H68"/>
      <c r="I68"/>
      <c r="J68"/>
      <c r="K68"/>
      <c r="L68"/>
      <c r="M68"/>
      <c r="N68"/>
      <c r="O68"/>
    </row>
    <row r="69" spans="1:15">
      <c r="A69" s="16"/>
      <c r="B69" s="17">
        <v>0</v>
      </c>
      <c r="C69" s="17">
        <v>-0.0909090909090909</v>
      </c>
      <c r="D69" s="17">
        <v>-0.2</v>
      </c>
      <c r="E69" s="17">
        <v>0</v>
      </c>
      <c r="F69" s="17">
        <v>-0.225806451612903</v>
      </c>
      <c r="G69" s="17">
        <f t="shared" si="21"/>
        <v>-0.103343108504399</v>
      </c>
      <c r="H69"/>
      <c r="I69"/>
      <c r="J69"/>
      <c r="K69"/>
      <c r="L69"/>
      <c r="M69"/>
      <c r="N69"/>
      <c r="O69"/>
    </row>
    <row r="70" spans="1:15">
      <c r="A70" s="16"/>
      <c r="B70" s="17">
        <v>-0.2</v>
      </c>
      <c r="C70" s="17">
        <v>-0.181818181818182</v>
      </c>
      <c r="D70" s="17">
        <v>-0.2</v>
      </c>
      <c r="E70" s="17">
        <v>0</v>
      </c>
      <c r="F70" s="17">
        <v>-0.258064516129032</v>
      </c>
      <c r="G70" s="17">
        <f t="shared" si="21"/>
        <v>-0.167976539589443</v>
      </c>
      <c r="H70"/>
      <c r="I70"/>
      <c r="J70"/>
      <c r="K70"/>
      <c r="L70"/>
      <c r="M70"/>
      <c r="N70"/>
      <c r="O70"/>
    </row>
    <row r="71" spans="1:15">
      <c r="A71" s="16"/>
      <c r="B71" s="17">
        <v>-0.2</v>
      </c>
      <c r="C71" s="17">
        <v>0</v>
      </c>
      <c r="D71" s="17">
        <v>-0.2</v>
      </c>
      <c r="E71" s="17">
        <v>0</v>
      </c>
      <c r="F71" s="17">
        <v>-0.225806451612903</v>
      </c>
      <c r="G71" s="17">
        <f t="shared" si="21"/>
        <v>-0.125161290322581</v>
      </c>
      <c r="H71"/>
      <c r="I71"/>
      <c r="J71"/>
      <c r="K71"/>
      <c r="L71"/>
      <c r="M71"/>
      <c r="N71"/>
      <c r="O71"/>
    </row>
    <row r="72" spans="1:15">
      <c r="A72" s="16"/>
      <c r="B72" s="17">
        <v>-0.133333333333333</v>
      </c>
      <c r="C72" s="17">
        <v>-0.181818181818182</v>
      </c>
      <c r="D72" s="17">
        <f>$N$45</f>
        <v>-0.2</v>
      </c>
      <c r="E72" s="17">
        <v>0</v>
      </c>
      <c r="F72" s="17">
        <v>-0.193548387096774</v>
      </c>
      <c r="G72" s="17">
        <f t="shared" si="21"/>
        <v>-0.141739980449658</v>
      </c>
      <c r="H72"/>
      <c r="I72"/>
      <c r="J72"/>
      <c r="K72"/>
      <c r="L72"/>
      <c r="M72"/>
      <c r="N72"/>
      <c r="O72"/>
    </row>
    <row r="73" spans="2:7">
      <c r="B73" s="17">
        <f>AVERAGE(B52:B72)</f>
        <v>-0.13015873015873</v>
      </c>
      <c r="C73" s="17">
        <f t="shared" ref="C73:G73" si="22">AVERAGE(C52:C72)</f>
        <v>-0.194805194805195</v>
      </c>
      <c r="D73" s="17">
        <f t="shared" si="22"/>
        <v>-0.123809523809524</v>
      </c>
      <c r="E73" s="17">
        <f t="shared" si="22"/>
        <v>-0.171428571428571</v>
      </c>
      <c r="F73" s="17">
        <f t="shared" si="22"/>
        <v>-0.165898617511521</v>
      </c>
      <c r="G73" s="17">
        <f t="shared" si="22"/>
        <v>-0.157220127542708</v>
      </c>
    </row>
  </sheetData>
  <mergeCells count="7">
    <mergeCell ref="B1:F1"/>
    <mergeCell ref="H1:M1"/>
    <mergeCell ref="N1:S1"/>
    <mergeCell ref="T1:Y1"/>
    <mergeCell ref="Z1:AE1"/>
    <mergeCell ref="A25:A45"/>
    <mergeCell ref="A52:A7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nodes and edges representation </vt:lpstr>
      <vt:lpstr>code complexity in method nodes</vt:lpstr>
      <vt:lpstr>features in Statement nodes</vt:lpstr>
      <vt:lpstr>features in mutant nodes</vt:lpstr>
      <vt:lpstr>features in method nodes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shumei wu</dc:creator>
  <cp:lastModifiedBy>呵呵</cp:lastModifiedBy>
  <dcterms:created xsi:type="dcterms:W3CDTF">2024-01-26T14:05:00Z</dcterms:created>
  <dcterms:modified xsi:type="dcterms:W3CDTF">2024-04-09T08:26:46Z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02E78748D1E84929883A02F219C98BA1_12</vt:lpwstr>
  </property>
  <property fmtid="{D5CDD505-2E9C-101B-9397-08002B2CF9AE}" pid="3" name="KSOProductBuildVer">
    <vt:lpwstr>2052-12.1.0.16417</vt:lpwstr>
  </property>
</Properties>
</file>